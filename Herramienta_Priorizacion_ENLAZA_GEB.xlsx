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juanpablotovar/Desktop/ENLAZA_OxI_Inversion_Social/sistema-priorizacion-proyectos/"/>
    </mc:Choice>
  </mc:AlternateContent>
  <xr:revisionPtr revIDLastSave="0" documentId="13_ncr:1_{DCD66D4D-BD7F-A949-A4A4-313AFDD1EFD8}" xr6:coauthVersionLast="47" xr6:coauthVersionMax="47" xr10:uidLastSave="{00000000-0000-0000-0000-000000000000}"/>
  <bookViews>
    <workbookView xWindow="0" yWindow="0" windowWidth="38400" windowHeight="21600" tabRatio="500" xr2:uid="{00000000-000D-0000-FFFF-FFFF00000000}"/>
  </bookViews>
  <sheets>
    <sheet name="Registro Proyectos" sheetId="1" r:id="rId1"/>
    <sheet name="Evaluacion Detallada" sheetId="2" r:id="rId2"/>
    <sheet name="Catalogos" sheetId="3" r:id="rId3"/>
    <sheet name="Panel de Control" sheetId="4" r:id="rId4"/>
    <sheet name="Instrucciones" sheetId="5" r:id="rId5"/>
    <sheet name="Metodología CONFIS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7" i="4" l="1"/>
  <c r="C28" i="4"/>
  <c r="C26" i="4"/>
  <c r="C22" i="4"/>
  <c r="C21" i="4"/>
  <c r="C20" i="4"/>
  <c r="C19" i="4"/>
  <c r="C18" i="4"/>
  <c r="C8" i="4"/>
  <c r="C6" i="4"/>
  <c r="C5" i="4"/>
  <c r="C4" i="4"/>
  <c r="B52" i="2"/>
  <c r="A52" i="2"/>
  <c r="B51" i="2"/>
  <c r="A51" i="2"/>
  <c r="B50" i="2"/>
  <c r="A50" i="2"/>
  <c r="B49" i="2"/>
  <c r="A49" i="2"/>
  <c r="B48" i="2"/>
  <c r="A48" i="2"/>
  <c r="B47" i="2"/>
  <c r="A47" i="2"/>
  <c r="B46" i="2"/>
  <c r="A46" i="2"/>
  <c r="K45" i="2"/>
  <c r="L45" i="2" s="1"/>
  <c r="I45" i="2"/>
  <c r="J45" i="2" s="1"/>
  <c r="G45" i="2"/>
  <c r="H45" i="2" s="1"/>
  <c r="E45" i="2"/>
  <c r="F45" i="2" s="1"/>
  <c r="B45" i="2"/>
  <c r="C45" i="2" s="1"/>
  <c r="D45" i="2" s="1"/>
  <c r="A45" i="2"/>
  <c r="B44" i="2"/>
  <c r="A44" i="2"/>
  <c r="B43" i="2"/>
  <c r="A43" i="2"/>
  <c r="B42" i="2"/>
  <c r="A42" i="2"/>
  <c r="B41" i="2"/>
  <c r="A41" i="2"/>
  <c r="B40" i="2"/>
  <c r="A40" i="2"/>
  <c r="B39" i="2"/>
  <c r="A39" i="2"/>
  <c r="B38" i="2"/>
  <c r="A38" i="2"/>
  <c r="B37" i="2"/>
  <c r="A37" i="2"/>
  <c r="B36" i="2"/>
  <c r="A36" i="2"/>
  <c r="B35" i="2"/>
  <c r="A35" i="2"/>
  <c r="K34" i="2"/>
  <c r="L34" i="2" s="1"/>
  <c r="I34" i="2"/>
  <c r="J34" i="2" s="1"/>
  <c r="G34" i="2"/>
  <c r="H34" i="2" s="1"/>
  <c r="B34" i="2"/>
  <c r="A34" i="2"/>
  <c r="B33" i="2"/>
  <c r="A33" i="2"/>
  <c r="B32" i="2"/>
  <c r="A32" i="2"/>
  <c r="B31" i="2"/>
  <c r="A31" i="2"/>
  <c r="B30" i="2"/>
  <c r="A30" i="2"/>
  <c r="B29" i="2"/>
  <c r="A29" i="2"/>
  <c r="B28" i="2"/>
  <c r="A28" i="2"/>
  <c r="B27" i="2"/>
  <c r="A27" i="2"/>
  <c r="B26" i="2"/>
  <c r="A26" i="2"/>
  <c r="B25" i="2"/>
  <c r="A25" i="2"/>
  <c r="B24" i="2"/>
  <c r="A24" i="2"/>
  <c r="K23" i="2"/>
  <c r="L23" i="2" s="1"/>
  <c r="I23" i="2"/>
  <c r="J23" i="2" s="1"/>
  <c r="B23" i="2"/>
  <c r="A23" i="2"/>
  <c r="B22" i="2"/>
  <c r="A22" i="2"/>
  <c r="B21" i="2"/>
  <c r="A21" i="2"/>
  <c r="B20" i="2"/>
  <c r="A20" i="2"/>
  <c r="B19" i="2"/>
  <c r="A19" i="2"/>
  <c r="B18" i="2"/>
  <c r="A18" i="2"/>
  <c r="B17" i="2"/>
  <c r="A17" i="2"/>
  <c r="B16" i="2"/>
  <c r="A16" i="2"/>
  <c r="B15" i="2"/>
  <c r="A15" i="2"/>
  <c r="B14" i="2"/>
  <c r="A14" i="2"/>
  <c r="C13" i="2"/>
  <c r="D13" i="2" s="1"/>
  <c r="B13" i="2"/>
  <c r="A13" i="2"/>
  <c r="K12" i="2"/>
  <c r="L12" i="2" s="1"/>
  <c r="B12" i="2"/>
  <c r="A12" i="2"/>
  <c r="B11" i="2"/>
  <c r="A11" i="2"/>
  <c r="B10" i="2"/>
  <c r="A10" i="2"/>
  <c r="B9" i="2"/>
  <c r="A9" i="2"/>
  <c r="B8" i="2"/>
  <c r="A8" i="2"/>
  <c r="B7" i="2"/>
  <c r="A7" i="2"/>
  <c r="B6" i="2"/>
  <c r="A6" i="2"/>
  <c r="B5" i="2"/>
  <c r="A5" i="2"/>
  <c r="B4" i="2"/>
  <c r="A4" i="2"/>
  <c r="B3" i="2"/>
  <c r="A3" i="2"/>
  <c r="AB53" i="1"/>
  <c r="S53" i="1"/>
  <c r="M53" i="1"/>
  <c r="AC53" i="1" s="1"/>
  <c r="AD53" i="1" s="1"/>
  <c r="K53" i="1"/>
  <c r="I53" i="1"/>
  <c r="A53" i="1"/>
  <c r="AB52" i="1"/>
  <c r="S52" i="1"/>
  <c r="M52" i="1"/>
  <c r="AC52" i="1" s="1"/>
  <c r="AD52" i="1" s="1"/>
  <c r="K52" i="1"/>
  <c r="I52" i="1"/>
  <c r="A52" i="1"/>
  <c r="AB51" i="1"/>
  <c r="S51" i="1"/>
  <c r="M51" i="1"/>
  <c r="AC51" i="1" s="1"/>
  <c r="AD51" i="1" s="1"/>
  <c r="K51" i="1"/>
  <c r="I51" i="1"/>
  <c r="A51" i="1"/>
  <c r="AB50" i="1"/>
  <c r="S50" i="1"/>
  <c r="M50" i="1"/>
  <c r="AC50" i="1" s="1"/>
  <c r="AD50" i="1" s="1"/>
  <c r="K50" i="1"/>
  <c r="I50" i="1"/>
  <c r="A50" i="1"/>
  <c r="AB49" i="1"/>
  <c r="S49" i="1"/>
  <c r="M49" i="1"/>
  <c r="AC49" i="1" s="1"/>
  <c r="AD49" i="1" s="1"/>
  <c r="K49" i="1"/>
  <c r="I49" i="1"/>
  <c r="A49" i="1"/>
  <c r="AB48" i="1"/>
  <c r="S48" i="1"/>
  <c r="M48" i="1"/>
  <c r="AC48" i="1" s="1"/>
  <c r="AD48" i="1" s="1"/>
  <c r="K48" i="1"/>
  <c r="I48" i="1"/>
  <c r="A48" i="1"/>
  <c r="AB47" i="1"/>
  <c r="S47" i="1"/>
  <c r="M47" i="1"/>
  <c r="AC47" i="1" s="1"/>
  <c r="AD47" i="1" s="1"/>
  <c r="K47" i="1"/>
  <c r="I47" i="1"/>
  <c r="A47" i="1"/>
  <c r="AB46" i="1"/>
  <c r="S46" i="1"/>
  <c r="M46" i="1"/>
  <c r="AC46" i="1" s="1"/>
  <c r="AD46" i="1" s="1"/>
  <c r="K46" i="1"/>
  <c r="I46" i="1"/>
  <c r="A46" i="1"/>
  <c r="AB45" i="1"/>
  <c r="S45" i="1"/>
  <c r="M45" i="1"/>
  <c r="AC45" i="1" s="1"/>
  <c r="AD45" i="1" s="1"/>
  <c r="K45" i="1"/>
  <c r="I45" i="1"/>
  <c r="A45" i="1"/>
  <c r="AB44" i="1"/>
  <c r="S44" i="1"/>
  <c r="M44" i="1"/>
  <c r="AC44" i="1" s="1"/>
  <c r="AD44" i="1" s="1"/>
  <c r="K44" i="1"/>
  <c r="I44" i="1"/>
  <c r="A44" i="1"/>
  <c r="AB43" i="1"/>
  <c r="S43" i="1"/>
  <c r="M43" i="1"/>
  <c r="AC43" i="1" s="1"/>
  <c r="AD43" i="1" s="1"/>
  <c r="K43" i="1"/>
  <c r="I43" i="1"/>
  <c r="A43" i="1"/>
  <c r="AB42" i="1"/>
  <c r="S42" i="1"/>
  <c r="M42" i="1"/>
  <c r="AC42" i="1" s="1"/>
  <c r="AD42" i="1" s="1"/>
  <c r="K42" i="1"/>
  <c r="I42" i="1"/>
  <c r="A42" i="1"/>
  <c r="AB41" i="1"/>
  <c r="S41" i="1"/>
  <c r="M41" i="1"/>
  <c r="AC41" i="1" s="1"/>
  <c r="AD41" i="1" s="1"/>
  <c r="K41" i="1"/>
  <c r="I41" i="1"/>
  <c r="A41" i="1"/>
  <c r="AB40" i="1"/>
  <c r="S40" i="1"/>
  <c r="M40" i="1"/>
  <c r="AC40" i="1" s="1"/>
  <c r="AD40" i="1" s="1"/>
  <c r="K40" i="1"/>
  <c r="I40" i="1"/>
  <c r="A40" i="1"/>
  <c r="AB39" i="1"/>
  <c r="S39" i="1"/>
  <c r="M39" i="1"/>
  <c r="AC39" i="1" s="1"/>
  <c r="AD39" i="1" s="1"/>
  <c r="K39" i="1"/>
  <c r="I39" i="1"/>
  <c r="A39" i="1"/>
  <c r="AB38" i="1"/>
  <c r="S38" i="1"/>
  <c r="M38" i="1"/>
  <c r="AC38" i="1" s="1"/>
  <c r="AD38" i="1" s="1"/>
  <c r="K38" i="1"/>
  <c r="I38" i="1"/>
  <c r="A38" i="1"/>
  <c r="AB37" i="1"/>
  <c r="S37" i="1"/>
  <c r="M37" i="1"/>
  <c r="AC37" i="1" s="1"/>
  <c r="AD37" i="1" s="1"/>
  <c r="K37" i="1"/>
  <c r="I37" i="1"/>
  <c r="A37" i="1"/>
  <c r="AB36" i="1"/>
  <c r="S36" i="1"/>
  <c r="M36" i="1"/>
  <c r="AC36" i="1" s="1"/>
  <c r="AD36" i="1" s="1"/>
  <c r="K36" i="1"/>
  <c r="I36" i="1"/>
  <c r="A36" i="1"/>
  <c r="AB35" i="1"/>
  <c r="S35" i="1"/>
  <c r="M35" i="1"/>
  <c r="AC35" i="1" s="1"/>
  <c r="AD35" i="1" s="1"/>
  <c r="K35" i="1"/>
  <c r="I35" i="1"/>
  <c r="A35" i="1"/>
  <c r="AB34" i="1"/>
  <c r="S34" i="1"/>
  <c r="M34" i="1"/>
  <c r="AC34" i="1" s="1"/>
  <c r="AD34" i="1" s="1"/>
  <c r="K34" i="1"/>
  <c r="I34" i="1"/>
  <c r="A34" i="1"/>
  <c r="AB33" i="1"/>
  <c r="S33" i="1"/>
  <c r="M33" i="1"/>
  <c r="AC33" i="1" s="1"/>
  <c r="AD33" i="1" s="1"/>
  <c r="K33" i="1"/>
  <c r="I33" i="1"/>
  <c r="A33" i="1"/>
  <c r="AB32" i="1"/>
  <c r="S32" i="1"/>
  <c r="M32" i="1"/>
  <c r="AC32" i="1" s="1"/>
  <c r="AD32" i="1" s="1"/>
  <c r="K32" i="1"/>
  <c r="I32" i="1"/>
  <c r="A32" i="1"/>
  <c r="AB31" i="1"/>
  <c r="S31" i="1"/>
  <c r="M31" i="1"/>
  <c r="AC31" i="1" s="1"/>
  <c r="AD31" i="1" s="1"/>
  <c r="K31" i="1"/>
  <c r="I31" i="1"/>
  <c r="A31" i="1"/>
  <c r="AB30" i="1"/>
  <c r="S30" i="1"/>
  <c r="M30" i="1"/>
  <c r="AC30" i="1" s="1"/>
  <c r="AD30" i="1" s="1"/>
  <c r="K30" i="1"/>
  <c r="I30" i="1"/>
  <c r="A30" i="1"/>
  <c r="AB29" i="1"/>
  <c r="S29" i="1"/>
  <c r="M29" i="1"/>
  <c r="AC29" i="1" s="1"/>
  <c r="AD29" i="1" s="1"/>
  <c r="K29" i="1"/>
  <c r="I29" i="1"/>
  <c r="A29" i="1"/>
  <c r="AB28" i="1"/>
  <c r="S28" i="1"/>
  <c r="M28" i="1"/>
  <c r="AC28" i="1" s="1"/>
  <c r="AD28" i="1" s="1"/>
  <c r="K28" i="1"/>
  <c r="I28" i="1"/>
  <c r="A28" i="1"/>
  <c r="AB27" i="1"/>
  <c r="S27" i="1"/>
  <c r="M27" i="1"/>
  <c r="AC27" i="1" s="1"/>
  <c r="AD27" i="1" s="1"/>
  <c r="K27" i="1"/>
  <c r="I27" i="1"/>
  <c r="A27" i="1"/>
  <c r="AB26" i="1"/>
  <c r="S26" i="1"/>
  <c r="M26" i="1"/>
  <c r="AC26" i="1" s="1"/>
  <c r="AD26" i="1" s="1"/>
  <c r="K26" i="1"/>
  <c r="I26" i="1"/>
  <c r="A26" i="1"/>
  <c r="AB25" i="1"/>
  <c r="S25" i="1"/>
  <c r="M25" i="1"/>
  <c r="AC25" i="1" s="1"/>
  <c r="AD25" i="1" s="1"/>
  <c r="K25" i="1"/>
  <c r="I25" i="1"/>
  <c r="A25" i="1"/>
  <c r="AB24" i="1"/>
  <c r="S24" i="1"/>
  <c r="M24" i="1"/>
  <c r="AC24" i="1" s="1"/>
  <c r="AD24" i="1" s="1"/>
  <c r="K24" i="1"/>
  <c r="I24" i="1"/>
  <c r="A24" i="1"/>
  <c r="AB23" i="1"/>
  <c r="S23" i="1"/>
  <c r="M23" i="1"/>
  <c r="AC23" i="1" s="1"/>
  <c r="AD23" i="1" s="1"/>
  <c r="K23" i="1"/>
  <c r="I23" i="1"/>
  <c r="A23" i="1"/>
  <c r="AB22" i="1"/>
  <c r="S22" i="1"/>
  <c r="M22" i="1"/>
  <c r="AC22" i="1" s="1"/>
  <c r="AD22" i="1" s="1"/>
  <c r="K22" i="1"/>
  <c r="I22" i="1"/>
  <c r="A22" i="1"/>
  <c r="AB21" i="1"/>
  <c r="S21" i="1"/>
  <c r="M21" i="1"/>
  <c r="AC21" i="1" s="1"/>
  <c r="AD21" i="1" s="1"/>
  <c r="K21" i="1"/>
  <c r="I21" i="1"/>
  <c r="A21" i="1"/>
  <c r="AB20" i="1"/>
  <c r="S20" i="1"/>
  <c r="M20" i="1"/>
  <c r="AC20" i="1" s="1"/>
  <c r="AD20" i="1" s="1"/>
  <c r="K20" i="1"/>
  <c r="I20" i="1"/>
  <c r="A20" i="1"/>
  <c r="AB19" i="1"/>
  <c r="S19" i="1"/>
  <c r="M19" i="1"/>
  <c r="AC19" i="1" s="1"/>
  <c r="AD19" i="1" s="1"/>
  <c r="K19" i="1"/>
  <c r="I19" i="1"/>
  <c r="A19" i="1"/>
  <c r="AB18" i="1"/>
  <c r="S18" i="1"/>
  <c r="M18" i="1"/>
  <c r="AC18" i="1" s="1"/>
  <c r="AD18" i="1" s="1"/>
  <c r="K18" i="1"/>
  <c r="I18" i="1"/>
  <c r="A18" i="1"/>
  <c r="AB17" i="1"/>
  <c r="S17" i="1"/>
  <c r="M17" i="1"/>
  <c r="AC17" i="1" s="1"/>
  <c r="AD17" i="1" s="1"/>
  <c r="K17" i="1"/>
  <c r="I17" i="1"/>
  <c r="A17" i="1"/>
  <c r="AB16" i="1"/>
  <c r="S16" i="1"/>
  <c r="M16" i="1"/>
  <c r="AC16" i="1" s="1"/>
  <c r="AD16" i="1" s="1"/>
  <c r="K16" i="1"/>
  <c r="I16" i="1"/>
  <c r="A16" i="1"/>
  <c r="AB15" i="1"/>
  <c r="S15" i="1"/>
  <c r="M15" i="1"/>
  <c r="AC15" i="1" s="1"/>
  <c r="AD15" i="1" s="1"/>
  <c r="K15" i="1"/>
  <c r="I15" i="1"/>
  <c r="A15" i="1"/>
  <c r="AB14" i="1"/>
  <c r="S14" i="1"/>
  <c r="M14" i="1"/>
  <c r="AC14" i="1" s="1"/>
  <c r="AD14" i="1" s="1"/>
  <c r="K14" i="1"/>
  <c r="I14" i="1"/>
  <c r="A14" i="1"/>
  <c r="AB13" i="1"/>
  <c r="S13" i="1"/>
  <c r="M13" i="1"/>
  <c r="AC13" i="1" s="1"/>
  <c r="AD13" i="1" s="1"/>
  <c r="K13" i="1"/>
  <c r="I13" i="1"/>
  <c r="A13" i="1"/>
  <c r="AB12" i="1"/>
  <c r="S12" i="1"/>
  <c r="M12" i="1"/>
  <c r="AC12" i="1" s="1"/>
  <c r="AD12" i="1" s="1"/>
  <c r="K12" i="1"/>
  <c r="I12" i="1"/>
  <c r="A12" i="1"/>
  <c r="AB11" i="1"/>
  <c r="S11" i="1"/>
  <c r="M11" i="1"/>
  <c r="AC11" i="1" s="1"/>
  <c r="AD11" i="1" s="1"/>
  <c r="K11" i="1"/>
  <c r="I11" i="1"/>
  <c r="A11" i="1"/>
  <c r="AB10" i="1"/>
  <c r="S10" i="1"/>
  <c r="M10" i="1"/>
  <c r="AC10" i="1" s="1"/>
  <c r="AD10" i="1" s="1"/>
  <c r="K10" i="1"/>
  <c r="I10" i="1"/>
  <c r="A10" i="1"/>
  <c r="AB9" i="1"/>
  <c r="S9" i="1"/>
  <c r="M9" i="1"/>
  <c r="AC9" i="1" s="1"/>
  <c r="AD9" i="1" s="1"/>
  <c r="K9" i="1"/>
  <c r="I9" i="1"/>
  <c r="A9" i="1"/>
  <c r="AB8" i="1"/>
  <c r="S8" i="1"/>
  <c r="M8" i="1"/>
  <c r="AC8" i="1" s="1"/>
  <c r="AD8" i="1" s="1"/>
  <c r="K8" i="1"/>
  <c r="I8" i="1"/>
  <c r="A8" i="1"/>
  <c r="AB7" i="1"/>
  <c r="S7" i="1"/>
  <c r="M7" i="1"/>
  <c r="AC7" i="1" s="1"/>
  <c r="AD7" i="1" s="1"/>
  <c r="K7" i="1"/>
  <c r="I7" i="1"/>
  <c r="A7" i="1"/>
  <c r="AB6" i="1"/>
  <c r="S6" i="1"/>
  <c r="M6" i="1"/>
  <c r="AC6" i="1" s="1"/>
  <c r="AD6" i="1" s="1"/>
  <c r="K6" i="1"/>
  <c r="I6" i="1"/>
  <c r="A6" i="1"/>
  <c r="AB5" i="1"/>
  <c r="S5" i="1"/>
  <c r="M5" i="1"/>
  <c r="AC5" i="1" s="1"/>
  <c r="AD5" i="1" s="1"/>
  <c r="K5" i="1"/>
  <c r="I5" i="1"/>
  <c r="A5" i="1"/>
  <c r="AB4" i="1"/>
  <c r="S4" i="1"/>
  <c r="M4" i="1"/>
  <c r="K4" i="1"/>
  <c r="I4" i="1"/>
  <c r="A4" i="1"/>
  <c r="AC4" i="1" l="1"/>
  <c r="C25" i="4"/>
  <c r="E52" i="2"/>
  <c r="F52" i="2" s="1"/>
  <c r="K52" i="2"/>
  <c r="L52" i="2" s="1"/>
  <c r="I52" i="2"/>
  <c r="J52" i="2" s="1"/>
  <c r="C52" i="2"/>
  <c r="D52" i="2" s="1"/>
  <c r="G52" i="2"/>
  <c r="H52" i="2" s="1"/>
  <c r="E51" i="2"/>
  <c r="F51" i="2" s="1"/>
  <c r="I51" i="2"/>
  <c r="J51" i="2" s="1"/>
  <c r="G51" i="2"/>
  <c r="H51" i="2" s="1"/>
  <c r="K51" i="2"/>
  <c r="L51" i="2" s="1"/>
  <c r="C51" i="2"/>
  <c r="D51" i="2" s="1"/>
  <c r="C50" i="2"/>
  <c r="D50" i="2" s="1"/>
  <c r="K50" i="2"/>
  <c r="L50" i="2" s="1"/>
  <c r="I50" i="2"/>
  <c r="J50" i="2" s="1"/>
  <c r="G50" i="2"/>
  <c r="H50" i="2" s="1"/>
  <c r="E50" i="2"/>
  <c r="F50" i="2" s="1"/>
  <c r="K49" i="2"/>
  <c r="L49" i="2" s="1"/>
  <c r="I49" i="2"/>
  <c r="J49" i="2" s="1"/>
  <c r="E49" i="2"/>
  <c r="F49" i="2" s="1"/>
  <c r="G49" i="2"/>
  <c r="H49" i="2" s="1"/>
  <c r="C49" i="2"/>
  <c r="D49" i="2" s="1"/>
  <c r="G48" i="2"/>
  <c r="H48" i="2" s="1"/>
  <c r="I48" i="2"/>
  <c r="J48" i="2" s="1"/>
  <c r="E48" i="2"/>
  <c r="F48" i="2" s="1"/>
  <c r="C48" i="2"/>
  <c r="D48" i="2" s="1"/>
  <c r="K48" i="2"/>
  <c r="L48" i="2" s="1"/>
  <c r="C47" i="2"/>
  <c r="D47" i="2" s="1"/>
  <c r="E47" i="2"/>
  <c r="F47" i="2" s="1"/>
  <c r="G47" i="2"/>
  <c r="H47" i="2" s="1"/>
  <c r="I47" i="2"/>
  <c r="J47" i="2" s="1"/>
  <c r="K47" i="2"/>
  <c r="L47" i="2" s="1"/>
  <c r="I46" i="2"/>
  <c r="J46" i="2" s="1"/>
  <c r="C46" i="2"/>
  <c r="D46" i="2" s="1"/>
  <c r="K46" i="2"/>
  <c r="L46" i="2" s="1"/>
  <c r="G46" i="2"/>
  <c r="H46" i="2" s="1"/>
  <c r="E46" i="2"/>
  <c r="F46" i="2" s="1"/>
  <c r="K44" i="2"/>
  <c r="L44" i="2" s="1"/>
  <c r="G44" i="2"/>
  <c r="H44" i="2" s="1"/>
  <c r="C44" i="2"/>
  <c r="D44" i="2" s="1"/>
  <c r="I44" i="2"/>
  <c r="J44" i="2" s="1"/>
  <c r="E44" i="2"/>
  <c r="F44" i="2" s="1"/>
  <c r="C43" i="2"/>
  <c r="D43" i="2" s="1"/>
  <c r="E43" i="2"/>
  <c r="F43" i="2" s="1"/>
  <c r="G43" i="2"/>
  <c r="H43" i="2" s="1"/>
  <c r="I43" i="2"/>
  <c r="J43" i="2" s="1"/>
  <c r="K43" i="2"/>
  <c r="L43" i="2" s="1"/>
  <c r="C42" i="2"/>
  <c r="D42" i="2" s="1"/>
  <c r="G42" i="2"/>
  <c r="H42" i="2" s="1"/>
  <c r="I42" i="2"/>
  <c r="J42" i="2" s="1"/>
  <c r="K42" i="2"/>
  <c r="L42" i="2" s="1"/>
  <c r="E42" i="2"/>
  <c r="F42" i="2" s="1"/>
  <c r="C41" i="2"/>
  <c r="D41" i="2" s="1"/>
  <c r="E41" i="2"/>
  <c r="F41" i="2" s="1"/>
  <c r="G41" i="2"/>
  <c r="H41" i="2" s="1"/>
  <c r="I41" i="2"/>
  <c r="J41" i="2" s="1"/>
  <c r="K41" i="2"/>
  <c r="L41" i="2" s="1"/>
  <c r="I40" i="2"/>
  <c r="J40" i="2" s="1"/>
  <c r="K40" i="2"/>
  <c r="L40" i="2" s="1"/>
  <c r="G40" i="2"/>
  <c r="H40" i="2" s="1"/>
  <c r="E40" i="2"/>
  <c r="F40" i="2" s="1"/>
  <c r="C40" i="2"/>
  <c r="D40" i="2" s="1"/>
  <c r="C39" i="2"/>
  <c r="D39" i="2" s="1"/>
  <c r="E39" i="2"/>
  <c r="F39" i="2" s="1"/>
  <c r="G39" i="2"/>
  <c r="H39" i="2" s="1"/>
  <c r="I39" i="2"/>
  <c r="J39" i="2" s="1"/>
  <c r="K39" i="2"/>
  <c r="L39" i="2" s="1"/>
  <c r="G38" i="2"/>
  <c r="H38" i="2" s="1"/>
  <c r="K38" i="2"/>
  <c r="L38" i="2" s="1"/>
  <c r="C38" i="2"/>
  <c r="D38" i="2" s="1"/>
  <c r="E38" i="2"/>
  <c r="F38" i="2" s="1"/>
  <c r="I38" i="2"/>
  <c r="J38" i="2" s="1"/>
  <c r="E37" i="2"/>
  <c r="F37" i="2" s="1"/>
  <c r="K37" i="2"/>
  <c r="L37" i="2" s="1"/>
  <c r="I37" i="2"/>
  <c r="J37" i="2" s="1"/>
  <c r="G37" i="2"/>
  <c r="H37" i="2" s="1"/>
  <c r="C37" i="2"/>
  <c r="D37" i="2" s="1"/>
  <c r="C36" i="2"/>
  <c r="D36" i="2" s="1"/>
  <c r="I36" i="2"/>
  <c r="J36" i="2" s="1"/>
  <c r="K36" i="2"/>
  <c r="L36" i="2" s="1"/>
  <c r="G36" i="2"/>
  <c r="H36" i="2" s="1"/>
  <c r="E36" i="2"/>
  <c r="F36" i="2" s="1"/>
  <c r="C35" i="2"/>
  <c r="D35" i="2" s="1"/>
  <c r="E35" i="2"/>
  <c r="F35" i="2" s="1"/>
  <c r="G35" i="2"/>
  <c r="H35" i="2" s="1"/>
  <c r="I35" i="2"/>
  <c r="J35" i="2" s="1"/>
  <c r="K35" i="2"/>
  <c r="L35" i="2" s="1"/>
  <c r="C34" i="2"/>
  <c r="D34" i="2" s="1"/>
  <c r="E34" i="2"/>
  <c r="F34" i="2" s="1"/>
  <c r="K33" i="2"/>
  <c r="L33" i="2" s="1"/>
  <c r="G33" i="2"/>
  <c r="H33" i="2" s="1"/>
  <c r="I33" i="2"/>
  <c r="J33" i="2" s="1"/>
  <c r="C33" i="2"/>
  <c r="D33" i="2" s="1"/>
  <c r="E33" i="2"/>
  <c r="F33" i="2" s="1"/>
  <c r="E32" i="2"/>
  <c r="F32" i="2" s="1"/>
  <c r="C32" i="2"/>
  <c r="D32" i="2" s="1"/>
  <c r="G32" i="2"/>
  <c r="H32" i="2" s="1"/>
  <c r="I32" i="2"/>
  <c r="J32" i="2" s="1"/>
  <c r="K32" i="2"/>
  <c r="L32" i="2" s="1"/>
  <c r="C31" i="2"/>
  <c r="D31" i="2" s="1"/>
  <c r="E31" i="2"/>
  <c r="F31" i="2" s="1"/>
  <c r="K31" i="2"/>
  <c r="L31" i="2" s="1"/>
  <c r="I31" i="2"/>
  <c r="J31" i="2" s="1"/>
  <c r="G31" i="2"/>
  <c r="H31" i="2" s="1"/>
  <c r="K30" i="2"/>
  <c r="L30" i="2" s="1"/>
  <c r="I30" i="2"/>
  <c r="J30" i="2" s="1"/>
  <c r="G30" i="2"/>
  <c r="H30" i="2" s="1"/>
  <c r="E30" i="2"/>
  <c r="F30" i="2" s="1"/>
  <c r="C30" i="2"/>
  <c r="D30" i="2" s="1"/>
  <c r="C29" i="2"/>
  <c r="D29" i="2" s="1"/>
  <c r="K29" i="2"/>
  <c r="L29" i="2" s="1"/>
  <c r="I29" i="2"/>
  <c r="J29" i="2" s="1"/>
  <c r="G29" i="2"/>
  <c r="H29" i="2" s="1"/>
  <c r="E29" i="2"/>
  <c r="F29" i="2" s="1"/>
  <c r="I28" i="2"/>
  <c r="J28" i="2" s="1"/>
  <c r="K28" i="2"/>
  <c r="L28" i="2" s="1"/>
  <c r="C28" i="2"/>
  <c r="D28" i="2" s="1"/>
  <c r="E28" i="2"/>
  <c r="F28" i="2" s="1"/>
  <c r="G28" i="2"/>
  <c r="H28" i="2" s="1"/>
  <c r="C27" i="2"/>
  <c r="D27" i="2" s="1"/>
  <c r="E27" i="2"/>
  <c r="F27" i="2" s="1"/>
  <c r="G27" i="2"/>
  <c r="H27" i="2" s="1"/>
  <c r="I27" i="2"/>
  <c r="J27" i="2" s="1"/>
  <c r="K27" i="2"/>
  <c r="L27" i="2" s="1"/>
  <c r="K26" i="2"/>
  <c r="L26" i="2" s="1"/>
  <c r="I26" i="2"/>
  <c r="J26" i="2" s="1"/>
  <c r="G26" i="2"/>
  <c r="H26" i="2" s="1"/>
  <c r="E26" i="2"/>
  <c r="F26" i="2" s="1"/>
  <c r="C26" i="2"/>
  <c r="D26" i="2" s="1"/>
  <c r="E25" i="2"/>
  <c r="F25" i="2" s="1"/>
  <c r="I25" i="2"/>
  <c r="J25" i="2" s="1"/>
  <c r="G25" i="2"/>
  <c r="H25" i="2" s="1"/>
  <c r="K25" i="2"/>
  <c r="L25" i="2" s="1"/>
  <c r="C25" i="2"/>
  <c r="D25" i="2" s="1"/>
  <c r="C24" i="2"/>
  <c r="D24" i="2" s="1"/>
  <c r="E24" i="2"/>
  <c r="F24" i="2" s="1"/>
  <c r="G24" i="2"/>
  <c r="H24" i="2" s="1"/>
  <c r="I24" i="2"/>
  <c r="J24" i="2" s="1"/>
  <c r="K24" i="2"/>
  <c r="L24" i="2" s="1"/>
  <c r="G23" i="2"/>
  <c r="H23" i="2" s="1"/>
  <c r="E23" i="2"/>
  <c r="F23" i="2" s="1"/>
  <c r="C23" i="2"/>
  <c r="D23" i="2" s="1"/>
  <c r="K22" i="2"/>
  <c r="L22" i="2" s="1"/>
  <c r="I22" i="2"/>
  <c r="J22" i="2" s="1"/>
  <c r="G22" i="2"/>
  <c r="H22" i="2" s="1"/>
  <c r="E22" i="2"/>
  <c r="F22" i="2" s="1"/>
  <c r="C22" i="2"/>
  <c r="D22" i="2" s="1"/>
  <c r="I21" i="2"/>
  <c r="J21" i="2" s="1"/>
  <c r="E21" i="2"/>
  <c r="F21" i="2" s="1"/>
  <c r="G21" i="2"/>
  <c r="H21" i="2" s="1"/>
  <c r="K21" i="2"/>
  <c r="L21" i="2" s="1"/>
  <c r="C21" i="2"/>
  <c r="D21" i="2" s="1"/>
  <c r="K20" i="2"/>
  <c r="L20" i="2" s="1"/>
  <c r="I20" i="2"/>
  <c r="J20" i="2" s="1"/>
  <c r="E20" i="2"/>
  <c r="F20" i="2" s="1"/>
  <c r="C20" i="2"/>
  <c r="D20" i="2" s="1"/>
  <c r="G20" i="2"/>
  <c r="H20" i="2" s="1"/>
  <c r="I19" i="2"/>
  <c r="J19" i="2" s="1"/>
  <c r="G19" i="2"/>
  <c r="H19" i="2" s="1"/>
  <c r="E19" i="2"/>
  <c r="F19" i="2" s="1"/>
  <c r="C19" i="2"/>
  <c r="D19" i="2" s="1"/>
  <c r="K19" i="2"/>
  <c r="L19" i="2" s="1"/>
  <c r="K18" i="2"/>
  <c r="L18" i="2" s="1"/>
  <c r="I18" i="2"/>
  <c r="J18" i="2" s="1"/>
  <c r="G18" i="2"/>
  <c r="H18" i="2" s="1"/>
  <c r="E18" i="2"/>
  <c r="F18" i="2" s="1"/>
  <c r="C18" i="2"/>
  <c r="D18" i="2" s="1"/>
  <c r="C17" i="2"/>
  <c r="D17" i="2" s="1"/>
  <c r="E17" i="2"/>
  <c r="F17" i="2" s="1"/>
  <c r="G17" i="2"/>
  <c r="H17" i="2" s="1"/>
  <c r="I17" i="2"/>
  <c r="J17" i="2" s="1"/>
  <c r="K17" i="2"/>
  <c r="L17" i="2" s="1"/>
  <c r="G16" i="2"/>
  <c r="H16" i="2" s="1"/>
  <c r="E16" i="2"/>
  <c r="F16" i="2" s="1"/>
  <c r="C16" i="2"/>
  <c r="D16" i="2" s="1"/>
  <c r="K16" i="2"/>
  <c r="L16" i="2" s="1"/>
  <c r="I16" i="2"/>
  <c r="J16" i="2" s="1"/>
  <c r="C15" i="2"/>
  <c r="D15" i="2" s="1"/>
  <c r="E15" i="2"/>
  <c r="F15" i="2" s="1"/>
  <c r="G15" i="2"/>
  <c r="H15" i="2" s="1"/>
  <c r="I15" i="2"/>
  <c r="J15" i="2" s="1"/>
  <c r="K15" i="2"/>
  <c r="L15" i="2" s="1"/>
  <c r="G14" i="2"/>
  <c r="H14" i="2" s="1"/>
  <c r="C14" i="2"/>
  <c r="D14" i="2" s="1"/>
  <c r="E14" i="2"/>
  <c r="F14" i="2" s="1"/>
  <c r="I14" i="2"/>
  <c r="J14" i="2" s="1"/>
  <c r="K14" i="2"/>
  <c r="L14" i="2" s="1"/>
  <c r="E13" i="2"/>
  <c r="F13" i="2" s="1"/>
  <c r="G13" i="2"/>
  <c r="H13" i="2" s="1"/>
  <c r="I13" i="2"/>
  <c r="J13" i="2" s="1"/>
  <c r="K13" i="2"/>
  <c r="L13" i="2" s="1"/>
  <c r="G12" i="2"/>
  <c r="H12" i="2" s="1"/>
  <c r="C12" i="2"/>
  <c r="D12" i="2" s="1"/>
  <c r="I12" i="2"/>
  <c r="J12" i="2" s="1"/>
  <c r="E12" i="2"/>
  <c r="F12" i="2" s="1"/>
  <c r="K11" i="2"/>
  <c r="L11" i="2" s="1"/>
  <c r="I11" i="2"/>
  <c r="J11" i="2" s="1"/>
  <c r="G11" i="2"/>
  <c r="H11" i="2" s="1"/>
  <c r="E11" i="2"/>
  <c r="F11" i="2" s="1"/>
  <c r="C11" i="2"/>
  <c r="D11" i="2" s="1"/>
  <c r="G10" i="2"/>
  <c r="H10" i="2" s="1"/>
  <c r="E10" i="2"/>
  <c r="F10" i="2" s="1"/>
  <c r="C10" i="2"/>
  <c r="D10" i="2" s="1"/>
  <c r="I10" i="2"/>
  <c r="J10" i="2" s="1"/>
  <c r="K10" i="2"/>
  <c r="L10" i="2" s="1"/>
  <c r="K9" i="2"/>
  <c r="L9" i="2" s="1"/>
  <c r="I9" i="2"/>
  <c r="J9" i="2" s="1"/>
  <c r="E9" i="2"/>
  <c r="F9" i="2" s="1"/>
  <c r="C9" i="2"/>
  <c r="D9" i="2" s="1"/>
  <c r="G9" i="2"/>
  <c r="H9" i="2" s="1"/>
  <c r="K8" i="2"/>
  <c r="L8" i="2" s="1"/>
  <c r="I8" i="2"/>
  <c r="J8" i="2" s="1"/>
  <c r="G8" i="2"/>
  <c r="H8" i="2" s="1"/>
  <c r="E8" i="2"/>
  <c r="F8" i="2" s="1"/>
  <c r="C8" i="2"/>
  <c r="D8" i="2" s="1"/>
  <c r="K7" i="2"/>
  <c r="L7" i="2" s="1"/>
  <c r="I7" i="2"/>
  <c r="J7" i="2" s="1"/>
  <c r="G7" i="2"/>
  <c r="H7" i="2" s="1"/>
  <c r="E7" i="2"/>
  <c r="F7" i="2" s="1"/>
  <c r="C7" i="2"/>
  <c r="D7" i="2" s="1"/>
  <c r="K6" i="2"/>
  <c r="L6" i="2" s="1"/>
  <c r="I6" i="2"/>
  <c r="J6" i="2" s="1"/>
  <c r="C6" i="2"/>
  <c r="D6" i="2" s="1"/>
  <c r="E6" i="2"/>
  <c r="F6" i="2" s="1"/>
  <c r="G6" i="2"/>
  <c r="H6" i="2" s="1"/>
  <c r="K5" i="2"/>
  <c r="L5" i="2" s="1"/>
  <c r="I5" i="2"/>
  <c r="J5" i="2" s="1"/>
  <c r="G5" i="2"/>
  <c r="H5" i="2" s="1"/>
  <c r="E5" i="2"/>
  <c r="F5" i="2" s="1"/>
  <c r="C5" i="2"/>
  <c r="D5" i="2" s="1"/>
  <c r="K4" i="2"/>
  <c r="L4" i="2" s="1"/>
  <c r="I4" i="2"/>
  <c r="J4" i="2" s="1"/>
  <c r="G4" i="2"/>
  <c r="H4" i="2" s="1"/>
  <c r="E4" i="2"/>
  <c r="F4" i="2" s="1"/>
  <c r="C4" i="2"/>
  <c r="D4" i="2" s="1"/>
  <c r="K3" i="2"/>
  <c r="L3" i="2" s="1"/>
  <c r="E3" i="2"/>
  <c r="F3" i="2" s="1"/>
  <c r="C3" i="2"/>
  <c r="D3" i="2" s="1"/>
  <c r="G3" i="2"/>
  <c r="I3" i="2"/>
  <c r="J3" i="2" s="1"/>
  <c r="H7" i="4"/>
  <c r="I7" i="4" s="1"/>
  <c r="G5" i="4"/>
  <c r="H6" i="4"/>
  <c r="I6" i="4" s="1"/>
  <c r="C7" i="4"/>
  <c r="G9" i="4"/>
  <c r="G8" i="4"/>
  <c r="H9" i="4"/>
  <c r="I9" i="4" s="1"/>
  <c r="H8" i="4"/>
  <c r="I8" i="4" s="1"/>
  <c r="G7" i="4" l="1"/>
  <c r="G6" i="4"/>
  <c r="AD4" i="1"/>
  <c r="H5" i="4"/>
  <c r="I5" i="4" s="1"/>
  <c r="H3" i="2"/>
  <c r="C38" i="4"/>
  <c r="C27" i="4"/>
  <c r="C14" i="4"/>
  <c r="C11" i="4"/>
  <c r="C12" i="4"/>
  <c r="C13" i="4"/>
  <c r="C15" i="4"/>
</calcChain>
</file>

<file path=xl/sharedStrings.xml><?xml version="1.0" encoding="utf-8"?>
<sst xmlns="http://schemas.openxmlformats.org/spreadsheetml/2006/main" count="375" uniqueCount="301">
  <si>
    <t>REGISTRO DE PROYECTOS - ENLAZA GEB - Arquitectura C</t>
  </si>
  <si>
    <t>ID</t>
  </si>
  <si>
    <t>DATOS BASICOS</t>
  </si>
  <si>
    <t>UBICACION Y PDET</t>
  </si>
  <si>
    <t>SROI</t>
  </si>
  <si>
    <t>STAKEHOLDERS</t>
  </si>
  <si>
    <t>RIESGOS (Prob x Impacto 1-5)</t>
  </si>
  <si>
    <t>COMITE</t>
  </si>
  <si>
    <t>Nombre del Proyecto</t>
  </si>
  <si>
    <t>Organizacion</t>
  </si>
  <si>
    <t>Presupuesto ($)</t>
  </si>
  <si>
    <t>Beneficiarios
Directos</t>
  </si>
  <si>
    <t>Duracion
(meses)</t>
  </si>
  <si>
    <t>Departamento</t>
  </si>
  <si>
    <t>Municipio</t>
  </si>
  <si>
    <t>Es PDET?</t>
  </si>
  <si>
    <t>Sector
Principal</t>
  </si>
  <si>
    <t>Puntaje
Sectorial</t>
  </si>
  <si>
    <t>Valor SROI</t>
  </si>
  <si>
    <t>Score SROI
(0-100)</t>
  </si>
  <si>
    <t>Observaciones
SROI</t>
  </si>
  <si>
    <t>Pertinencia
Operac. (1-5)</t>
  </si>
  <si>
    <t>Mejora
Relacion. (1-5)</t>
  </si>
  <si>
    <t>Stakeholders
Involucrados</t>
  </si>
  <si>
    <t>Corredor
Transmision?</t>
  </si>
  <si>
    <t>Score
Stakeholders
(0-100)</t>
  </si>
  <si>
    <t>R.Tecnico
Prob (1-5)</t>
  </si>
  <si>
    <t>R.Tecnico
Impacto (1-5)</t>
  </si>
  <si>
    <t>R.Social
Prob (1-5)</t>
  </si>
  <si>
    <t>R.Social
Impacto (1-5)</t>
  </si>
  <si>
    <t>R.Financiero
Prob (1-5)</t>
  </si>
  <si>
    <t>R.Financiero
Impacto (1-5)</t>
  </si>
  <si>
    <t>R.Regulatorio
Prob (1-5)</t>
  </si>
  <si>
    <t>R.Regulatorio
Impacto (1-5)</t>
  </si>
  <si>
    <t>Score
Riesgos
(0-100)</t>
  </si>
  <si>
    <t>SCORE
TOTAL</t>
  </si>
  <si>
    <t>NIVEL
PRIORIDAD</t>
  </si>
  <si>
    <t>Estado
Comite</t>
  </si>
  <si>
    <t>EVALUACION DETALLADA - SCORING ARQUITECTURA C</t>
  </si>
  <si>
    <t>Proyecto</t>
  </si>
  <si>
    <t>Score SROI
(40%)</t>
  </si>
  <si>
    <t>Contrib.
SROI</t>
  </si>
  <si>
    <t>Score
Stakeholders
(25%)</t>
  </si>
  <si>
    <t>Contrib.
Stakeholders</t>
  </si>
  <si>
    <t>Score Prob.
CONFIS (20%)</t>
  </si>
  <si>
    <t>Contrib.
Prob.Aprob</t>
  </si>
  <si>
    <t>Score
Riesgos (15%)</t>
  </si>
  <si>
    <t>Contrib.
Riesgos</t>
  </si>
  <si>
    <t>NIVEL</t>
  </si>
  <si>
    <t>Municipio PDET</t>
  </si>
  <si>
    <t>Puntaje</t>
  </si>
  <si>
    <t>Llave (Mun|Sector)</t>
  </si>
  <si>
    <t>ESCALAS DE EVALUACION</t>
  </si>
  <si>
    <t>Agustin Codazzi</t>
  </si>
  <si>
    <t>Cesar</t>
  </si>
  <si>
    <t>Agustin Codazzi|Educacion</t>
  </si>
  <si>
    <t>PERTINENCIA OPERACIONAL (Rubrica Objetiva)</t>
  </si>
  <si>
    <t>Agustin Codazzi|Salud</t>
  </si>
  <si>
    <t>Muy Alta</t>
  </si>
  <si>
    <t>Impacta directamente operacion de linea de transmision activa. Sin licencia social la operacion se detiene.</t>
  </si>
  <si>
    <t>Agustin Codazzi|Infraestructura Rural</t>
  </si>
  <si>
    <t>Alta</t>
  </si>
  <si>
    <t>Territorio con comunidades que afectan planificacion de futuras lineas. Influencia significativa en reputacion.</t>
  </si>
  <si>
    <t>Agustin Codazzi|Agua y Saneamiento</t>
  </si>
  <si>
    <t>Media</t>
  </si>
  <si>
    <t>Area de influencia indirecta. Contribuye a imagen corporativa pero no critico para operaciones.</t>
  </si>
  <si>
    <t>Valledupar</t>
  </si>
  <si>
    <t>Valledupar|Educacion</t>
  </si>
  <si>
    <t>Baja</t>
  </si>
  <si>
    <t>Fuera de corredores operacionales. Beneficio marginal para relacionamiento institucional.</t>
  </si>
  <si>
    <t>Valledupar|Salud</t>
  </si>
  <si>
    <t>Nula</t>
  </si>
  <si>
    <t>Sin conexion con operaciones, corredores ni territorios estrategicos de ENLAZA.</t>
  </si>
  <si>
    <t>Valledupar|Infraestructura Rural</t>
  </si>
  <si>
    <t>San Vicente del Caguan</t>
  </si>
  <si>
    <t>Caqueta</t>
  </si>
  <si>
    <t>San Vicente del Caguan|Educacion</t>
  </si>
  <si>
    <t>MEJORA DEL RELACIONAMIENTO (Rubrica Objetiva)</t>
  </si>
  <si>
    <t>San Vicente del Caguan|Salud</t>
  </si>
  <si>
    <t>Sustancial</t>
  </si>
  <si>
    <t>Conflictos activos documentados que el proyecto resolveria. Comunidad con oposicion formal. Incluye participacion.</t>
  </si>
  <si>
    <t>San Vicente del Caguan|Infraestructura Rural</t>
  </si>
  <si>
    <t>Confianza</t>
  </si>
  <si>
    <t>Desconfianza documentada sin conflicto activo. Proyecto fortalece acuerdos o crea canales de dialogo.</t>
  </si>
  <si>
    <t>Tumaco</t>
  </si>
  <si>
    <t>Narino</t>
  </si>
  <si>
    <t>Tumaco|Educacion</t>
  </si>
  <si>
    <t>Moderada</t>
  </si>
  <si>
    <t>Relacion neutral sin historial negativo. Genera visibilidad positiva y contacto institucional.</t>
  </si>
  <si>
    <t>Tumaco|Salud</t>
  </si>
  <si>
    <t>Limitada</t>
  </si>
  <si>
    <t>Comunidad ya tiene relacion funcional con ENLAZA. Beneficio marginal al relacionamiento.</t>
  </si>
  <si>
    <t>Tumaco|Infraestructura Rural</t>
  </si>
  <si>
    <t>No aporta</t>
  </si>
  <si>
    <t>No hay comunidades relevantes o el proyecto no genera interaccion con stakeholders.</t>
  </si>
  <si>
    <t>Tumaco|Agua y Saneamiento</t>
  </si>
  <si>
    <t>Apartado</t>
  </si>
  <si>
    <t>Antioquia</t>
  </si>
  <si>
    <t>Apartado|Educacion</t>
  </si>
  <si>
    <t>Apartado|Salud</t>
  </si>
  <si>
    <t>Apartado|Infraestructura Rural</t>
  </si>
  <si>
    <t>Tibú</t>
  </si>
  <si>
    <t>Norte de Santander</t>
  </si>
  <si>
    <t>Tibú|Educacion</t>
  </si>
  <si>
    <t>Tibú|Salud</t>
  </si>
  <si>
    <t>Tibú|Infraestructura Rural</t>
  </si>
  <si>
    <t>El Tambo</t>
  </si>
  <si>
    <t>Cauca</t>
  </si>
  <si>
    <t>El Tambo|Educacion</t>
  </si>
  <si>
    <t>El Tambo|Salud</t>
  </si>
  <si>
    <t>SCORING SROI (Funcion Logaritmica Continua)</t>
  </si>
  <si>
    <t>El Tambo|Infraestructura Rural</t>
  </si>
  <si>
    <t>&lt; 1.0</t>
  </si>
  <si>
    <t>RECHAZADO</t>
  </si>
  <si>
    <t>Score 0 - Destruye valor social (gate preservado)</t>
  </si>
  <si>
    <t>Chaparral</t>
  </si>
  <si>
    <t>Tolima</t>
  </si>
  <si>
    <t>Chaparral|Educacion</t>
  </si>
  <si>
    <t>1.0</t>
  </si>
  <si>
    <t>60 pts</t>
  </si>
  <si>
    <t>Punto de anclaje base</t>
  </si>
  <si>
    <t>Chaparral|Salud</t>
  </si>
  <si>
    <t>1.5</t>
  </si>
  <si>
    <t>73 pts</t>
  </si>
  <si>
    <t>Score = 60 + 35*ln(1.5)/ln(3)</t>
  </si>
  <si>
    <t>Chaparral|Infraestructura Rural</t>
  </si>
  <si>
    <t>2.0</t>
  </si>
  <si>
    <t>82 pts</t>
  </si>
  <si>
    <t>Score = 60 + 35*ln(2)/ln(3)</t>
  </si>
  <si>
    <t>Buenaventura</t>
  </si>
  <si>
    <t>Valle del Cauca</t>
  </si>
  <si>
    <t>Buenaventura|Educacion</t>
  </si>
  <si>
    <t>3.0</t>
  </si>
  <si>
    <t>95 pts</t>
  </si>
  <si>
    <t>Score = 60 + 35*ln(3)/ln(3) = 60+35</t>
  </si>
  <si>
    <t>Buenaventura|Salud</t>
  </si>
  <si>
    <t>&gt;= 5.0</t>
  </si>
  <si>
    <t>98 pts</t>
  </si>
  <si>
    <t>Techo maximo - requiere observaciones</t>
  </si>
  <si>
    <t>Buenaventura|Infraestructura Rural</t>
  </si>
  <si>
    <t>&gt; 7.0</t>
  </si>
  <si>
    <t>Alerta: verificar metodologia de calculo</t>
  </si>
  <si>
    <t>Buenaventura|Agua y Saneamiento</t>
  </si>
  <si>
    <t>Ituango</t>
  </si>
  <si>
    <t>Ituango|Educacion</t>
  </si>
  <si>
    <t>Ituango|Salud</t>
  </si>
  <si>
    <t>Ituango|Infraestructura Rural</t>
  </si>
  <si>
    <t>Puerto Asis</t>
  </si>
  <si>
    <t>Putumayo</t>
  </si>
  <si>
    <t>Puerto Asis|Educacion</t>
  </si>
  <si>
    <t>Puerto Asis|Salud</t>
  </si>
  <si>
    <t>Puerto Asis|Infraestructura Rural</t>
  </si>
  <si>
    <t>PANEL DE CONTROL - ENLAZA GEB</t>
  </si>
  <si>
    <t>METRICAS GENERALES</t>
  </si>
  <si>
    <t>TOP 5 PROYECTOS POR SCORE</t>
  </si>
  <si>
    <t>Total Proyectos Registrados</t>
  </si>
  <si>
    <t>#</t>
  </si>
  <si>
    <t>Score</t>
  </si>
  <si>
    <t>Nivel</t>
  </si>
  <si>
    <t>Presupuesto Total</t>
  </si>
  <si>
    <t>Beneficiarios Totales</t>
  </si>
  <si>
    <t>Score Promedio</t>
  </si>
  <si>
    <t>Proyectos PDET</t>
  </si>
  <si>
    <t>DISTRIBUCION POR NIVEL DE PRIORIDAD</t>
  </si>
  <si>
    <t>MUY ALTA (&gt;=85)</t>
  </si>
  <si>
    <t>ALTA (70-84)</t>
  </si>
  <si>
    <t>MEDIA (50-69)</t>
  </si>
  <si>
    <t>BAJA (&lt;50)</t>
  </si>
  <si>
    <t>ESTADO EN COMITE</t>
  </si>
  <si>
    <t>Pendientes de Presentar</t>
  </si>
  <si>
    <t>Presentados</t>
  </si>
  <si>
    <t>Aprobados</t>
  </si>
  <si>
    <t>Rechazados</t>
  </si>
  <si>
    <t>En Revision</t>
  </si>
  <si>
    <t>PROMEDIOS POR CRITERIO</t>
  </si>
  <si>
    <t>SROI (40%)</t>
  </si>
  <si>
    <t>Stakeholders (25%)</t>
  </si>
  <si>
    <t>Prob. CONFIS (20%)</t>
  </si>
  <si>
    <t>Riesgos (15%)</t>
  </si>
  <si>
    <t>NOTA METODOLOGICA</t>
  </si>
  <si>
    <t>Score Total = SROI(40%) + Stakeholders(25%) + Prob.CONFIS(20%) + Riesgos(15%)
Arquitectura C aprobada 15-Nov-2025. Ajuste metodológico Feb-2026.
SROI: Función logarítmica continua Score=60+35*ln(SROI)/ln(3). Gate &lt;1=Rechazado. Techo=98.
Riesgos: scoring inverso (Prob x Impacto). Factores contextuales como alertas informativas.
Stakeholders: Rúbricas objetivas con criterios verificables vinculados a operación ENLAZA.
Prob.CONFIS: Metodología CONFIS Anexo 2. Score=Grupo(20%)+((Terr+Sect)/20×100)(80%). 8 grupos.</t>
  </si>
  <si>
    <t>MÉTRICAS CONFIS</t>
  </si>
  <si>
    <t>Score Prom. Prob. CONFIS</t>
  </si>
  <si>
    <t>INSTRUCCIONES DE USO</t>
  </si>
  <si>
    <t>COMO REGISTRAR UN PROYECTO</t>
  </si>
  <si>
    <t>1. Ir a la hoja 'Registro Proyectos'</t>
  </si>
  <si>
    <t>2. Llenar los campos en AZUL (son los datos de entrada)</t>
  </si>
  <si>
    <t>3. Los campos en NEGRO se calculan automaticamente (no modificar)</t>
  </si>
  <si>
    <t>4. Los campos con lista desplegable tienen opciones predefinidas</t>
  </si>
  <si>
    <t>CAMPOS OBLIGATORIOS</t>
  </si>
  <si>
    <t>- Nombre del Proyecto (col B)</t>
  </si>
  <si>
    <t>- Presupuesto (col D)</t>
  </si>
  <si>
    <t>- Valor SROI (col L) - usar decimales, ej: 2.5</t>
  </si>
  <si>
    <t>- Pertinencia Operacional (col O) - escala 1 a 5</t>
  </si>
  <si>
    <t>- Mejora Relacionamiento (col P) - escala 1 a 5</t>
  </si>
  <si>
    <t>- Los 4 tipos de riesgo: Probabilidad e Impacto (cols T-AA) - escala 1 a 5</t>
  </si>
  <si>
    <t>COMO INTERPRETAR LOS RESULTADOS</t>
  </si>
  <si>
    <t>- Score Total (col AC): puntaje de 0 a 100</t>
  </si>
  <si>
    <t>- Nivel Prioridad (col AD): MUY ALTA, ALTA, MEDIA, BAJA o RECHAZADO</t>
  </si>
  <si>
    <t>- Un SROI &lt; 1.0 RECHAZA automaticamente el proyecto</t>
  </si>
  <si>
    <t>- Ver hoja 'Evaluacion Detallada' para desglose por criterio</t>
  </si>
  <si>
    <t>- Ver hoja 'Panel de Control' para metricas agregadas</t>
  </si>
  <si>
    <t>SEGUIMIENTO DEL COMITE</t>
  </si>
  <si>
    <t>- Columna 'Estado Comite' (col AE): Pendiente, Presentado, Aprobado, Rechazado, En Revision</t>
  </si>
  <si>
    <t>- El Panel de Control muestra conteo por estado</t>
  </si>
  <si>
    <t>MUNICIPIOS PDET</t>
  </si>
  <si>
    <t>- Si el municipio esta en la lista PDET (hoja Catalogos), se marca 'SI' automaticamente</t>
  </si>
  <si>
    <t>- El puntaje sectorial se busca automaticamente segun municipio y sector</t>
  </si>
  <si>
    <t>- Si no es PDET, el score de Prob. Aprobacion usa 50 como base</t>
  </si>
  <si>
    <t>ESCALAS DE REFERENCIA</t>
  </si>
  <si>
    <t>- Ver hoja 'Catalogos' para todas las escalas de evaluacion</t>
  </si>
  <si>
    <t>- Pertinencia Operacional: 1(Nula) a 5(Muy Alta)</t>
  </si>
  <si>
    <t>- Mejora Relacionamiento: 1(No aporta) a 5(Sustancial)</t>
  </si>
  <si>
    <t>- Riesgos Prob/Impacto: 1(Muy Bajo) a 5(Muy Alto)</t>
  </si>
  <si>
    <t>NOTA SOBRE AJUSTES METODOLÓGICOS (Feb 2026)</t>
  </si>
  <si>
    <t>- El score SROI usa función logarítmica continua: Score = 60 + 35×ln(SROI)/ln(3)</t>
  </si>
  <si>
    <t>- SROI &lt; 1.0 sigue siendo rechazo automático (score 0)</t>
  </si>
  <si>
    <t>- Las escalas de Stakeholders tienen rúbricas objetivas en la hoja Catálogos</t>
  </si>
  <si>
    <t>- Los factores automáticos de riesgo ahora son alertas informativas, no penalizaciones</t>
  </si>
  <si>
    <t>- Las escalas de Stakeholders tienen rubricas objetivas en la hoja Catalogos</t>
  </si>
  <si>
    <t>INTEGRACIÓN METODOLOGÍA CONFIS (Feb 2026)</t>
  </si>
  <si>
    <t>- Criterio 3 (Prob. Aprobación) ahora usa la metodología CONFIS Anexo 2</t>
  </si>
  <si>
    <t>- Fórmula: Score = GrupoPrioridad(20%) + ScoreCONFIS_Normalizado(80%)</t>
  </si>
  <si>
    <t>- ScoreCONFIS = (PuntajeTerritorial + PuntajeSectorial) / 20 × 100</t>
  </si>
  <si>
    <t>- 8 Grupos de priorización según tipo municipio (PDET/ZOMAC/Amazonía) y estructuración</t>
  </si>
  <si>
    <t>- El puntaje sectorial (col K) se usa como componente sectorial CONFIS</t>
  </si>
  <si>
    <t>GATE DE ELEGIBILIDAD</t>
  </si>
  <si>
    <t>- Solo municipios PDET, ZOMAC o Amazonía son elegibles para Obras por Impuestos</t>
  </si>
  <si>
    <t>- El gate se implementa en el motor Python (motor_arquitectura_c.py)</t>
  </si>
  <si>
    <t>- En el Excel, la columna 'Es PDET?' (col I) determina si el proyecto es elegible</t>
  </si>
  <si>
    <t>- Ver hoja 'Metodología CONFIS' para documentación completa de la metodología</t>
  </si>
  <si>
    <t>METODOLOGÍA CONFIS - Priorización Obras por Impuestos</t>
  </si>
  <si>
    <t>Basado en Anexo 2 del Documento CONFIS - Ajuste Feb 2026</t>
  </si>
  <si>
    <t>1. GATE DE ELEGIBILIDAD</t>
  </si>
  <si>
    <t>Solo proyectos en municipios PDET y/o ZOMAC son elegibles para Obras por Impuestos.</t>
  </si>
  <si>
    <t>Proyectos fuera de estas categorías reciben nivel 'NO ELEGIBLE' y score = 0.</t>
  </si>
  <si>
    <t>2. GRUPOS DE PRIORIZACIÓN CONFIS (Agotamiento Secuencial)</t>
  </si>
  <si>
    <t>Los proyectos se priorizan primero por grupo (1-8), luego por score CONFIS dentro del grupo.</t>
  </si>
  <si>
    <t>Grupo</t>
  </si>
  <si>
    <t>Tipo Municipio</t>
  </si>
  <si>
    <t>Estructuración</t>
  </si>
  <si>
    <t>Score Grupo</t>
  </si>
  <si>
    <t>Prioridad</t>
  </si>
  <si>
    <t>PATR-PDET</t>
  </si>
  <si>
    <t>Contribuyente paga</t>
  </si>
  <si>
    <t>Máxima</t>
  </si>
  <si>
    <t>Sin estruc. contribuyente</t>
  </si>
  <si>
    <t>PDET</t>
  </si>
  <si>
    <t>Media-Alta</t>
  </si>
  <si>
    <t>ZOMAC (alta pobreza)</t>
  </si>
  <si>
    <t>Media-Baja</t>
  </si>
  <si>
    <t>Amazonía</t>
  </si>
  <si>
    <t>Muy Baja</t>
  </si>
  <si>
    <t>3. ENFOQUE TERRITORIAL (IPM + MDM_inv + IICA + CULTIVOS)</t>
  </si>
  <si>
    <t>Puntaje = Promedio de 4 índices normalizados (1-10)</t>
  </si>
  <si>
    <t xml:space="preserve">  - IPM: Índice de Pobreza Multidimensional</t>
  </si>
  <si>
    <t xml:space="preserve">  - MDM invertido: Desempeño Municipal (invertido = peor desempeño mayor puntaje)</t>
  </si>
  <si>
    <t xml:space="preserve">  - IICA: Incidencia del Conflicto Armado</t>
  </si>
  <si>
    <t xml:space="preserve">  - CULTIVOS: Presencia de Cultivos Ilícitos</t>
  </si>
  <si>
    <t>Nota: Si no se dispone de datos territoriales, se usa puntaje por defecto = 5.0</t>
  </si>
  <si>
    <t>4. ENFOQUE SECTORIAL (Brechas por línea de inversión)</t>
  </si>
  <si>
    <t>Puntaje = Brecha del sector en el municipio (1-10, de matriz PDET/ZOMAC)</t>
  </si>
  <si>
    <t xml:space="preserve">  - Educación</t>
  </si>
  <si>
    <t xml:space="preserve">  - Salud y Protección Social</t>
  </si>
  <si>
    <t xml:space="preserve">  - Agua Potable y Saneamiento</t>
  </si>
  <si>
    <t xml:space="preserve">  - Transporte</t>
  </si>
  <si>
    <t xml:space="preserve">  - Energía</t>
  </si>
  <si>
    <t xml:space="preserve">  - Ambiente y Desarrollo Sostenible</t>
  </si>
  <si>
    <t xml:space="preserve">  - Agropecuario</t>
  </si>
  <si>
    <t xml:space="preserve">  - TIC</t>
  </si>
  <si>
    <t xml:space="preserve">  - Cultura</t>
  </si>
  <si>
    <t xml:space="preserve">  - Deporte y Recreación</t>
  </si>
  <si>
    <t>5. FÓRMULA DE SCORING CRITERIO 3</t>
  </si>
  <si>
    <t>Score CONFIS = Territorial + Sectorial (rango 2-20)</t>
  </si>
  <si>
    <t>Score Normalizado = (Score CONFIS / 20) x 100</t>
  </si>
  <si>
    <t>Score Criterio 3 = GrupoPrioridad x 20% + ScoreNormalizado x 80%</t>
  </si>
  <si>
    <t>Score Final Proyecto = SROI(40%) + Stakeholders(25%) + Prob.CONFIS(20%) + Riesgos(15%)</t>
  </si>
  <si>
    <t>6. EJEMPLOS DE CÁLCULO</t>
  </si>
  <si>
    <t>Ejemplo 1:</t>
  </si>
  <si>
    <t>Proyecto PATR-PDET, contribuyente paga, sectorial=10, territorial=8</t>
  </si>
  <si>
    <t>Grupo 1 (score=100), CONFIS=(8+10)/20x100=90</t>
  </si>
  <si>
    <t>Score Criterio 3 = 100x0.20 + 90x0.80 = 20 + 72 = 92</t>
  </si>
  <si>
    <t>Ejemplo 2:</t>
  </si>
  <si>
    <t>Proyecto PDET sin PATR, sin estruc., sectorial=5, territorial=5</t>
  </si>
  <si>
    <t>Grupo 4 (score=70), CONFIS=(5+5)/20x100=50</t>
  </si>
  <si>
    <t>Score Criterio 3 = 70x0.20 + 50x0.80 = 14 + 40 = 54</t>
  </si>
  <si>
    <t>Ejemplo 3:</t>
  </si>
  <si>
    <t>Proyecto ZOMAC, contribuyente paga, sectorial=8, territorial=6</t>
  </si>
  <si>
    <t>Grupo 5 (score=55), CONFIS=(6+8)/20x100=70</t>
  </si>
  <si>
    <t>Score Criterio 3 = 55x0.20 + 70x0.80 = 11 + 56 = 67</t>
  </si>
  <si>
    <t>7. IMPLEMENTACIÓN</t>
  </si>
  <si>
    <t>MOTOR PYTHON (motor_arquitectura_c.py):</t>
  </si>
  <si>
    <t xml:space="preserve">  - Implementa los 8 grupos CONFIS completos con campos tipo_municipio, es_patr_pdet, contribuyente_paga</t>
  </si>
  <si>
    <t xml:space="preserve">  - Gate de elegibilidad: proyectos no-PDET/ZOMAC reciben score 0 y nivel 'NO ELEGIBLE'</t>
  </si>
  <si>
    <t xml:space="preserve">  - Puntaje territorial CONFIS configurable (IPM+MDM+IICA+CULTIVOS)</t>
  </si>
  <si>
    <t xml:space="preserve">  - Lookup automático de puntaje sectorial desde BD con 362 municipios</t>
  </si>
  <si>
    <t>EXCEL (esta herramienta):</t>
  </si>
  <si>
    <t xml:space="preserve">  - Versión simplificada: usa 'Es PDET?' (col I) y Puntaje Sectorial (col K)</t>
  </si>
  <si>
    <t xml:space="preserve">  - Grupo default 4 (PDET sin estructuración contribuyente) cuando es PDET</t>
  </si>
  <si>
    <t xml:space="preserve">  - Para los 8 grupos completos, usar el motor Python</t>
  </si>
  <si>
    <t xml:space="preserve">  - La BD SQLite tiene los puntajes sectoriales de 362 municipios PDET/ZOMAC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</si>
</sst>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0.0"/>
  </numFmts>
  <fonts count="22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color rgb="FF00800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9"/>
      <color rgb="FF666666"/>
      <name val="Arial"/>
      <family val="2"/>
    </font>
    <font>
      <b/>
      <sz val="10"/>
      <color rgb="FF1B3A5C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Calibri"/>
      <family val="2"/>
    </font>
    <font>
      <b/>
      <sz val="11"/>
      <color rgb="FF1F4E79"/>
      <name val="Calibri"/>
      <family val="2"/>
    </font>
    <font>
      <b/>
      <sz val="11"/>
      <color rgb="FFC00000"/>
      <name val="Calibri"/>
      <family val="2"/>
    </font>
    <font>
      <b/>
      <sz val="14"/>
      <color rgb="FF1F4E79"/>
      <name val="Calibri"/>
      <family val="2"/>
    </font>
    <font>
      <i/>
      <sz val="11"/>
      <color rgb="FF808080"/>
      <name val="Calibri"/>
      <family val="2"/>
    </font>
    <font>
      <b/>
      <sz val="12"/>
      <color rgb="FFC00000"/>
      <name val="Calibri"/>
      <family val="2"/>
    </font>
    <font>
      <b/>
      <sz val="12"/>
      <color rgb="FF1F4E7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2E6B9E"/>
        <bgColor rgb="FF008080"/>
      </patternFill>
    </fill>
    <fill>
      <patternFill patternType="solid">
        <fgColor rgb="FF27AE60"/>
        <bgColor rgb="FF008080"/>
      </patternFill>
    </fill>
    <fill>
      <patternFill patternType="solid">
        <fgColor rgb="FFE74C3C"/>
        <bgColor rgb="FFFF8080"/>
      </patternFill>
    </fill>
    <fill>
      <patternFill patternType="solid">
        <fgColor rgb="FF8E44AD"/>
        <bgColor rgb="FF993366"/>
      </patternFill>
    </fill>
    <fill>
      <patternFill patternType="solid">
        <fgColor rgb="FFD6E8F7"/>
        <bgColor rgb="FFD5D8DC"/>
      </patternFill>
    </fill>
    <fill>
      <patternFill patternType="solid">
        <fgColor rgb="FF1F4E79"/>
        <bgColor rgb="FF1F4E79"/>
      </patternFill>
    </fill>
    <fill>
      <patternFill patternType="solid">
        <fgColor rgb="FF2F5496"/>
        <bgColor rgb="FF2F5496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CE4EC"/>
        <bgColor rgb="FFFCE4EC"/>
      </patternFill>
    </fill>
  </fills>
  <borders count="3">
    <border>
      <left/>
      <right/>
      <top/>
      <bottom/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7" fillId="0" borderId="1" xfId="0" applyFont="1" applyBorder="1"/>
    <xf numFmtId="165" fontId="3" fillId="0" borderId="1" xfId="0" applyNumberFormat="1" applyFont="1" applyBorder="1" applyAlignment="1">
      <alignment horizontal="center" vertical="center" wrapText="1"/>
    </xf>
    <xf numFmtId="165" fontId="8" fillId="0" borderId="1" xfId="0" applyNumberFormat="1" applyFont="1" applyBorder="1" applyAlignment="1">
      <alignment horizontal="center" vertical="center" wrapText="1"/>
    </xf>
    <xf numFmtId="0" fontId="2" fillId="2" borderId="0" xfId="0" applyFont="1" applyFill="1"/>
    <xf numFmtId="0" fontId="9" fillId="0" borderId="0" xfId="0" applyFont="1"/>
    <xf numFmtId="0" fontId="9" fillId="0" borderId="0" xfId="0" applyFont="1" applyAlignment="1">
      <alignment horizontal="center" vertical="center" wrapText="1"/>
    </xf>
    <xf numFmtId="0" fontId="10" fillId="0" borderId="0" xfId="0" applyFont="1"/>
    <xf numFmtId="0" fontId="11" fillId="0" borderId="0" xfId="0" applyFont="1"/>
    <xf numFmtId="0" fontId="6" fillId="0" borderId="0" xfId="0" applyFont="1"/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64" fontId="8" fillId="0" borderId="0" xfId="0" applyNumberFormat="1" applyFont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/>
    <xf numFmtId="165" fontId="9" fillId="0" borderId="1" xfId="0" applyNumberFormat="1" applyFont="1" applyBorder="1" applyAlignment="1">
      <alignment horizontal="center" vertical="center" wrapText="1"/>
    </xf>
    <xf numFmtId="3" fontId="8" fillId="0" borderId="0" xfId="0" applyNumberFormat="1" applyFont="1" applyAlignment="1">
      <alignment horizontal="center" vertical="center" wrapText="1"/>
    </xf>
    <xf numFmtId="165" fontId="8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65" fontId="5" fillId="0" borderId="0" xfId="0" applyNumberFormat="1" applyFont="1" applyAlignment="1">
      <alignment horizontal="center" vertical="center" wrapText="1"/>
    </xf>
    <xf numFmtId="0" fontId="11" fillId="7" borderId="0" xfId="0" applyFont="1" applyFill="1"/>
    <xf numFmtId="0" fontId="12" fillId="0" borderId="1" xfId="0" applyFont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 wrapText="1"/>
    </xf>
    <xf numFmtId="0" fontId="14" fillId="0" borderId="0" xfId="0" applyFont="1"/>
    <xf numFmtId="0" fontId="14" fillId="7" borderId="0" xfId="0" applyFont="1" applyFill="1"/>
    <xf numFmtId="0" fontId="15" fillId="0" borderId="0" xfId="0" applyFont="1"/>
    <xf numFmtId="0" fontId="18" fillId="0" borderId="0" xfId="0" applyFont="1"/>
    <xf numFmtId="0" fontId="19" fillId="0" borderId="0" xfId="0" applyFont="1"/>
    <xf numFmtId="0" fontId="13" fillId="9" borderId="2" xfId="0" applyFont="1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0" fillId="10" borderId="2" xfId="0" applyFill="1" applyBorder="1"/>
    <xf numFmtId="0" fontId="0" fillId="11" borderId="2" xfId="0" applyFill="1" applyBorder="1" applyAlignment="1">
      <alignment horizontal="center"/>
    </xf>
    <xf numFmtId="0" fontId="0" fillId="11" borderId="2" xfId="0" applyFill="1" applyBorder="1"/>
    <xf numFmtId="0" fontId="0" fillId="12" borderId="2" xfId="0" applyFill="1" applyBorder="1" applyAlignment="1">
      <alignment horizontal="center"/>
    </xf>
    <xf numFmtId="0" fontId="0" fillId="12" borderId="2" xfId="0" applyFill="1" applyBorder="1"/>
    <xf numFmtId="0" fontId="20" fillId="0" borderId="0" xfId="0" applyFont="1"/>
    <xf numFmtId="0" fontId="21" fillId="0" borderId="0" xfId="0" applyFont="1"/>
    <xf numFmtId="0" fontId="2" fillId="3" borderId="0" xfId="0" applyFont="1" applyFill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2" fillId="3" borderId="0" xfId="0" applyFont="1" applyFill="1"/>
    <xf numFmtId="0" fontId="1" fillId="5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left" vertical="top" wrapText="1"/>
    </xf>
    <xf numFmtId="0" fontId="1" fillId="6" borderId="0" xfId="0" applyFont="1" applyFill="1" applyAlignment="1">
      <alignment horizontal="center" vertical="center" wrapText="1"/>
    </xf>
    <xf numFmtId="0" fontId="17" fillId="0" borderId="0" xfId="0" applyFont="1" applyAlignment="1">
      <alignment horizontal="center"/>
    </xf>
    <xf numFmtId="0" fontId="1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8E44AD"/>
      <rgbColor rgb="FFFFFFCC"/>
      <rgbColor rgb="FFD6E8F7"/>
      <rgbColor rgb="FF660066"/>
      <rgbColor rgb="FFFF8080"/>
      <rgbColor rgb="FF2E6B9E"/>
      <rgbColor rgb="FFD5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39C12"/>
      <rgbColor rgb="FFE74C3C"/>
      <rgbColor rgb="FF666666"/>
      <rgbColor rgb="FF969696"/>
      <rgbColor rgb="FF1B3A5C"/>
      <rgbColor rgb="FF27AE6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3A5C"/>
  </sheetPr>
  <dimension ref="A1:AE53"/>
  <sheetViews>
    <sheetView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C4" sqref="C4"/>
    </sheetView>
  </sheetViews>
  <sheetFormatPr baseColWidth="10" defaultColWidth="8.6640625" defaultRowHeight="15" customHeight="1" x14ac:dyDescent="0.2"/>
  <cols>
    <col min="1" max="1" width="6" customWidth="1"/>
    <col min="2" max="2" width="30" customWidth="1"/>
    <col min="3" max="3" width="20" customWidth="1"/>
    <col min="4" max="4" width="18" customWidth="1"/>
    <col min="5" max="5" width="14" customWidth="1"/>
    <col min="6" max="6" width="12" customWidth="1"/>
    <col min="7" max="8" width="16" customWidth="1"/>
    <col min="9" max="9" width="10" customWidth="1"/>
    <col min="10" max="10" width="16" customWidth="1"/>
    <col min="11" max="13" width="12" customWidth="1"/>
    <col min="14" max="14" width="20" customWidth="1"/>
    <col min="15" max="16" width="14" customWidth="1"/>
    <col min="17" max="17" width="18" customWidth="1"/>
    <col min="18" max="19" width="14" customWidth="1"/>
    <col min="20" max="29" width="12" customWidth="1"/>
    <col min="30" max="31" width="14" customWidth="1"/>
  </cols>
  <sheetData>
    <row r="1" spans="1:31" ht="30" customHeight="1" x14ac:dyDescent="0.2">
      <c r="A1" s="49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</row>
    <row r="2" spans="1:31" ht="24.75" customHeight="1" x14ac:dyDescent="0.2">
      <c r="A2" s="1" t="s">
        <v>1</v>
      </c>
      <c r="B2" s="47" t="s">
        <v>2</v>
      </c>
      <c r="C2" s="48"/>
      <c r="D2" s="48"/>
      <c r="E2" s="48"/>
      <c r="F2" s="48"/>
      <c r="G2" s="47" t="s">
        <v>3</v>
      </c>
      <c r="H2" s="48"/>
      <c r="I2" s="48"/>
      <c r="J2" s="48"/>
      <c r="K2" s="48"/>
      <c r="L2" s="47" t="s">
        <v>4</v>
      </c>
      <c r="M2" s="48"/>
      <c r="N2" s="48"/>
      <c r="O2" s="47" t="s">
        <v>5</v>
      </c>
      <c r="P2" s="48"/>
      <c r="Q2" s="48"/>
      <c r="R2" s="48"/>
      <c r="S2" s="48"/>
      <c r="T2" s="47" t="s">
        <v>6</v>
      </c>
      <c r="U2" s="48"/>
      <c r="V2" s="48"/>
      <c r="W2" s="48"/>
      <c r="X2" s="48"/>
      <c r="Y2" s="48"/>
      <c r="Z2" s="48"/>
      <c r="AA2" s="48"/>
      <c r="AB2" s="47" t="s">
        <v>7</v>
      </c>
      <c r="AC2" s="48"/>
      <c r="AD2" s="48"/>
      <c r="AE2" s="48"/>
    </row>
    <row r="3" spans="1:31" ht="39.75" customHeight="1" x14ac:dyDescent="0.2">
      <c r="A3" s="2" t="s">
        <v>1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  <c r="H3" s="2" t="s">
        <v>14</v>
      </c>
      <c r="I3" s="2" t="s">
        <v>15</v>
      </c>
      <c r="J3" s="2" t="s">
        <v>16</v>
      </c>
      <c r="K3" s="2" t="s">
        <v>17</v>
      </c>
      <c r="L3" s="2" t="s">
        <v>18</v>
      </c>
      <c r="M3" s="2" t="s">
        <v>19</v>
      </c>
      <c r="N3" s="2" t="s">
        <v>20</v>
      </c>
      <c r="O3" s="2" t="s">
        <v>21</v>
      </c>
      <c r="P3" s="2" t="s">
        <v>22</v>
      </c>
      <c r="Q3" s="2" t="s">
        <v>23</v>
      </c>
      <c r="R3" s="2" t="s">
        <v>24</v>
      </c>
      <c r="S3" s="2" t="s">
        <v>25</v>
      </c>
      <c r="T3" s="2" t="s">
        <v>26</v>
      </c>
      <c r="U3" s="2" t="s">
        <v>27</v>
      </c>
      <c r="V3" s="2" t="s">
        <v>28</v>
      </c>
      <c r="W3" s="2" t="s">
        <v>29</v>
      </c>
      <c r="X3" s="2" t="s">
        <v>30</v>
      </c>
      <c r="Y3" s="2" t="s">
        <v>31</v>
      </c>
      <c r="Z3" s="2" t="s">
        <v>32</v>
      </c>
      <c r="AA3" s="2" t="s">
        <v>33</v>
      </c>
      <c r="AB3" s="2" t="s">
        <v>34</v>
      </c>
      <c r="AC3" s="2" t="s">
        <v>35</v>
      </c>
      <c r="AD3" s="2" t="s">
        <v>36</v>
      </c>
      <c r="AE3" s="2" t="s">
        <v>37</v>
      </c>
    </row>
    <row r="4" spans="1:31" ht="15" customHeight="1" x14ac:dyDescent="0.2">
      <c r="A4" s="3" t="str">
        <f t="shared" ref="A4:A35" si="0">IF(B4="","",ROW()-3)</f>
        <v/>
      </c>
      <c r="B4" s="4"/>
      <c r="C4" s="4"/>
      <c r="D4" s="5"/>
      <c r="E4" s="6"/>
      <c r="F4" s="4"/>
      <c r="G4" s="4"/>
      <c r="H4" s="4"/>
      <c r="I4" s="3" t="str">
        <f>IF(H4="","",IF(COUNTIF(Catalogos!$A:$A,H4)&gt;0,"SI","NO"))</f>
        <v/>
      </c>
      <c r="J4" s="4"/>
      <c r="K4" s="3" t="str">
        <f>IF(OR(H4="",J4=""),"",IFERROR(INDEX(Catalogos!$C:$C,MATCH(H4&amp;"|"&amp;J4,Catalogos!$D:$D,0)),0))</f>
        <v/>
      </c>
      <c r="L4" s="4"/>
      <c r="M4" s="3" t="str">
        <f t="shared" ref="M4:M35" si="1">IF(L4="","",IF(L4&lt;1,0,MIN(ROUND(60+35*LN(L4)/LN(3),1),98)))</f>
        <v/>
      </c>
      <c r="N4" s="4"/>
      <c r="O4" s="4"/>
      <c r="P4" s="4"/>
      <c r="Q4" s="4"/>
      <c r="R4" s="4"/>
      <c r="S4" s="3" t="str">
        <f t="shared" ref="S4:S35" si="2">IF(OR(O4="",P4=""),"",ROUND(((O4/5)*100)*0.4+((P4/5)*100)*0.35+IF(R4="SI",100,0)*0.15+MIN(LEN(SUBSTITUTE(Q4," ",""))/3,1)*100*0.1,1))</f>
        <v/>
      </c>
      <c r="T4" s="7"/>
      <c r="U4" s="7"/>
      <c r="V4" s="7"/>
      <c r="W4" s="7"/>
      <c r="X4" s="7"/>
      <c r="Y4" s="7"/>
      <c r="Z4" s="7"/>
      <c r="AA4" s="7"/>
      <c r="AB4" s="31" t="str">
        <f t="shared" ref="AB4:AB35" si="3">IF(OR(T4="",V4="",X4="",Z4=""),"",ROUND(MAX(MIN(100-(T4*U4/25)*100,100),0)*0.3+MAX(MIN(100-(V4*W4/25)*100,100),0)*0.25+MAX(MIN(100-(X4*Y4/25)*100,100),0)*0.2+MAX(MIN(100-(Z4*AA4/25)*100,100),0)*0.15+10,1))</f>
        <v/>
      </c>
      <c r="AC4" s="8" t="str">
        <f t="shared" ref="AC4:AC35" si="4">IF(OR(M4="",S4="",AB4=""),"",IF(M4=0,0,ROUND(M4*0.4+S4*0.25+(IF(I4="SI",ROUND(70*0.2+((5+IF(K4="",5,K4))/20)*100*0.8,1),50))*0.2+AB4*0.15,1)))</f>
        <v/>
      </c>
      <c r="AD4" s="9" t="str">
        <f t="shared" ref="AD4:AD35" si="5">IF(AC4="","",IF(M4=0,"RECHAZADO",IF(AC4&gt;=85,"MUY ALTA",IF(AC4&gt;=70,"ALTA",IF(AC4&gt;=50,"MEDIA","BAJA")))))</f>
        <v/>
      </c>
      <c r="AE4" s="7"/>
    </row>
    <row r="5" spans="1:31" ht="15" customHeight="1" x14ac:dyDescent="0.2">
      <c r="A5" s="3" t="str">
        <f t="shared" si="0"/>
        <v/>
      </c>
      <c r="B5" s="4"/>
      <c r="C5" s="4"/>
      <c r="D5" s="5"/>
      <c r="E5" s="6"/>
      <c r="F5" s="4"/>
      <c r="G5" s="4"/>
      <c r="H5" s="4"/>
      <c r="I5" s="3" t="str">
        <f>IF(H5="","",IF(COUNTIF(Catalogos!$A:$A,H5)&gt;0,"SI","NO"))</f>
        <v/>
      </c>
      <c r="J5" s="4"/>
      <c r="K5" s="3" t="str">
        <f>IF(OR(H5="",J5=""),"",IFERROR(INDEX(Catalogos!$C:$C,MATCH(H5&amp;"|"&amp;J5,Catalogos!$D:$D,0)),0))</f>
        <v/>
      </c>
      <c r="L5" s="4"/>
      <c r="M5" s="3" t="str">
        <f t="shared" si="1"/>
        <v/>
      </c>
      <c r="N5" s="4"/>
      <c r="O5" s="4"/>
      <c r="P5" s="4"/>
      <c r="Q5" s="4"/>
      <c r="R5" s="4"/>
      <c r="S5" s="3" t="str">
        <f t="shared" si="2"/>
        <v/>
      </c>
      <c r="T5" s="7"/>
      <c r="U5" s="7"/>
      <c r="V5" s="7"/>
      <c r="W5" s="7"/>
      <c r="X5" s="7"/>
      <c r="Y5" s="7"/>
      <c r="Z5" s="7"/>
      <c r="AA5" s="7"/>
      <c r="AB5" s="31" t="str">
        <f t="shared" si="3"/>
        <v/>
      </c>
      <c r="AC5" s="8" t="str">
        <f t="shared" si="4"/>
        <v/>
      </c>
      <c r="AD5" s="9" t="str">
        <f t="shared" si="5"/>
        <v/>
      </c>
      <c r="AE5" s="7"/>
    </row>
    <row r="6" spans="1:31" ht="15" customHeight="1" x14ac:dyDescent="0.2">
      <c r="A6" s="3" t="str">
        <f t="shared" si="0"/>
        <v/>
      </c>
      <c r="B6" s="4"/>
      <c r="C6" s="4"/>
      <c r="D6" s="5"/>
      <c r="E6" s="6"/>
      <c r="F6" s="4"/>
      <c r="G6" s="4"/>
      <c r="H6" s="4"/>
      <c r="I6" s="3" t="str">
        <f>IF(H6="","",IF(COUNTIF(Catalogos!$A:$A,H6)&gt;0,"SI","NO"))</f>
        <v/>
      </c>
      <c r="J6" s="4"/>
      <c r="K6" s="3" t="str">
        <f>IF(OR(H6="",J6=""),"",IFERROR(INDEX(Catalogos!$C:$C,MATCH(H6&amp;"|"&amp;J6,Catalogos!$D:$D,0)),0))</f>
        <v/>
      </c>
      <c r="L6" s="4"/>
      <c r="M6" s="3" t="str">
        <f t="shared" si="1"/>
        <v/>
      </c>
      <c r="N6" s="4"/>
      <c r="O6" s="4"/>
      <c r="P6" s="4"/>
      <c r="Q6" s="4"/>
      <c r="R6" s="4"/>
      <c r="S6" s="3" t="str">
        <f t="shared" si="2"/>
        <v/>
      </c>
      <c r="T6" s="7"/>
      <c r="U6" s="7"/>
      <c r="V6" s="7"/>
      <c r="W6" s="7"/>
      <c r="X6" s="7"/>
      <c r="Y6" s="7"/>
      <c r="Z6" s="7"/>
      <c r="AA6" s="7"/>
      <c r="AB6" s="31" t="str">
        <f t="shared" si="3"/>
        <v/>
      </c>
      <c r="AC6" s="8" t="str">
        <f t="shared" si="4"/>
        <v/>
      </c>
      <c r="AD6" s="9" t="str">
        <f t="shared" si="5"/>
        <v/>
      </c>
      <c r="AE6" s="7"/>
    </row>
    <row r="7" spans="1:31" ht="15" customHeight="1" x14ac:dyDescent="0.2">
      <c r="A7" s="3" t="str">
        <f t="shared" si="0"/>
        <v/>
      </c>
      <c r="B7" s="4"/>
      <c r="C7" s="4"/>
      <c r="D7" s="5"/>
      <c r="E7" s="6"/>
      <c r="F7" s="4"/>
      <c r="G7" s="4"/>
      <c r="H7" s="4"/>
      <c r="I7" s="3" t="str">
        <f>IF(H7="","",IF(COUNTIF(Catalogos!$A:$A,H7)&gt;0,"SI","NO"))</f>
        <v/>
      </c>
      <c r="J7" s="4"/>
      <c r="K7" s="3" t="str">
        <f>IF(OR(H7="",J7=""),"",IFERROR(INDEX(Catalogos!$C:$C,MATCH(H7&amp;"|"&amp;J7,Catalogos!$D:$D,0)),0))</f>
        <v/>
      </c>
      <c r="L7" s="4"/>
      <c r="M7" s="3" t="str">
        <f t="shared" si="1"/>
        <v/>
      </c>
      <c r="N7" s="4"/>
      <c r="O7" s="4"/>
      <c r="P7" s="4"/>
      <c r="Q7" s="4"/>
      <c r="R7" s="4"/>
      <c r="S7" s="3" t="str">
        <f t="shared" si="2"/>
        <v/>
      </c>
      <c r="T7" s="7"/>
      <c r="U7" s="7"/>
      <c r="V7" s="7"/>
      <c r="W7" s="7"/>
      <c r="X7" s="7"/>
      <c r="Y7" s="7"/>
      <c r="Z7" s="7"/>
      <c r="AA7" s="7"/>
      <c r="AB7" s="31" t="str">
        <f t="shared" si="3"/>
        <v/>
      </c>
      <c r="AC7" s="8" t="str">
        <f t="shared" si="4"/>
        <v/>
      </c>
      <c r="AD7" s="9" t="str">
        <f t="shared" si="5"/>
        <v/>
      </c>
      <c r="AE7" s="7"/>
    </row>
    <row r="8" spans="1:31" ht="15" customHeight="1" x14ac:dyDescent="0.2">
      <c r="A8" s="3" t="str">
        <f t="shared" si="0"/>
        <v/>
      </c>
      <c r="B8" s="4"/>
      <c r="C8" s="4"/>
      <c r="D8" s="5"/>
      <c r="E8" s="6"/>
      <c r="F8" s="4"/>
      <c r="G8" s="4"/>
      <c r="H8" s="4"/>
      <c r="I8" s="3" t="str">
        <f>IF(H8="","",IF(COUNTIF(Catalogos!$A:$A,H8)&gt;0,"SI","NO"))</f>
        <v/>
      </c>
      <c r="J8" s="4"/>
      <c r="K8" s="3" t="str">
        <f>IF(OR(H8="",J8=""),"",IFERROR(INDEX(Catalogos!$C:$C,MATCH(H8&amp;"|"&amp;J8,Catalogos!$D:$D,0)),0))</f>
        <v/>
      </c>
      <c r="L8" s="4"/>
      <c r="M8" s="3" t="str">
        <f t="shared" si="1"/>
        <v/>
      </c>
      <c r="N8" s="4"/>
      <c r="O8" s="4"/>
      <c r="P8" s="4"/>
      <c r="Q8" s="4"/>
      <c r="R8" s="4"/>
      <c r="S8" s="3" t="str">
        <f t="shared" si="2"/>
        <v/>
      </c>
      <c r="T8" s="7"/>
      <c r="U8" s="7"/>
      <c r="V8" s="7"/>
      <c r="W8" s="7"/>
      <c r="X8" s="7"/>
      <c r="Y8" s="7"/>
      <c r="Z8" s="7"/>
      <c r="AA8" s="7"/>
      <c r="AB8" s="31" t="str">
        <f t="shared" si="3"/>
        <v/>
      </c>
      <c r="AC8" s="8" t="str">
        <f t="shared" si="4"/>
        <v/>
      </c>
      <c r="AD8" s="9" t="str">
        <f t="shared" si="5"/>
        <v/>
      </c>
      <c r="AE8" s="7"/>
    </row>
    <row r="9" spans="1:31" ht="15" customHeight="1" x14ac:dyDescent="0.2">
      <c r="A9" s="3" t="str">
        <f t="shared" si="0"/>
        <v/>
      </c>
      <c r="B9" s="4"/>
      <c r="C9" s="4"/>
      <c r="D9" s="5"/>
      <c r="E9" s="6"/>
      <c r="F9" s="4"/>
      <c r="G9" s="4"/>
      <c r="H9" s="4"/>
      <c r="I9" s="3" t="str">
        <f>IF(H9="","",IF(COUNTIF(Catalogos!$A:$A,H9)&gt;0,"SI","NO"))</f>
        <v/>
      </c>
      <c r="J9" s="4"/>
      <c r="K9" s="3" t="str">
        <f>IF(OR(H9="",J9=""),"",IFERROR(INDEX(Catalogos!$C:$C,MATCH(H9&amp;"|"&amp;J9,Catalogos!$D:$D,0)),0))</f>
        <v/>
      </c>
      <c r="L9" s="4"/>
      <c r="M9" s="3" t="str">
        <f t="shared" si="1"/>
        <v/>
      </c>
      <c r="N9" s="4"/>
      <c r="O9" s="4"/>
      <c r="P9" s="4"/>
      <c r="Q9" s="4"/>
      <c r="R9" s="4"/>
      <c r="S9" s="3" t="str">
        <f t="shared" si="2"/>
        <v/>
      </c>
      <c r="T9" s="7"/>
      <c r="U9" s="7"/>
      <c r="V9" s="7"/>
      <c r="W9" s="7"/>
      <c r="X9" s="7"/>
      <c r="Y9" s="7"/>
      <c r="Z9" s="7"/>
      <c r="AA9" s="7"/>
      <c r="AB9" s="31" t="str">
        <f t="shared" si="3"/>
        <v/>
      </c>
      <c r="AC9" s="8" t="str">
        <f t="shared" si="4"/>
        <v/>
      </c>
      <c r="AD9" s="9" t="str">
        <f t="shared" si="5"/>
        <v/>
      </c>
      <c r="AE9" s="7"/>
    </row>
    <row r="10" spans="1:31" ht="15" customHeight="1" x14ac:dyDescent="0.2">
      <c r="A10" s="3" t="str">
        <f t="shared" si="0"/>
        <v/>
      </c>
      <c r="B10" s="4"/>
      <c r="C10" s="4"/>
      <c r="D10" s="5"/>
      <c r="E10" s="6"/>
      <c r="F10" s="4"/>
      <c r="G10" s="4"/>
      <c r="H10" s="4"/>
      <c r="I10" s="3" t="str">
        <f>IF(H10="","",IF(COUNTIF(Catalogos!$A:$A,H10)&gt;0,"SI","NO"))</f>
        <v/>
      </c>
      <c r="J10" s="4"/>
      <c r="K10" s="3" t="str">
        <f>IF(OR(H10="",J10=""),"",IFERROR(INDEX(Catalogos!$C:$C,MATCH(H10&amp;"|"&amp;J10,Catalogos!$D:$D,0)),0))</f>
        <v/>
      </c>
      <c r="L10" s="4"/>
      <c r="M10" s="3" t="str">
        <f t="shared" si="1"/>
        <v/>
      </c>
      <c r="N10" s="4"/>
      <c r="O10" s="4"/>
      <c r="P10" s="4"/>
      <c r="Q10" s="4"/>
      <c r="R10" s="4"/>
      <c r="S10" s="3" t="str">
        <f t="shared" si="2"/>
        <v/>
      </c>
      <c r="T10" s="7"/>
      <c r="U10" s="7"/>
      <c r="V10" s="7"/>
      <c r="W10" s="7"/>
      <c r="X10" s="7"/>
      <c r="Y10" s="7"/>
      <c r="Z10" s="7"/>
      <c r="AA10" s="7"/>
      <c r="AB10" s="31" t="str">
        <f t="shared" si="3"/>
        <v/>
      </c>
      <c r="AC10" s="8" t="str">
        <f t="shared" si="4"/>
        <v/>
      </c>
      <c r="AD10" s="9" t="str">
        <f t="shared" si="5"/>
        <v/>
      </c>
      <c r="AE10" s="7"/>
    </row>
    <row r="11" spans="1:31" ht="15" customHeight="1" x14ac:dyDescent="0.2">
      <c r="A11" s="3" t="str">
        <f t="shared" si="0"/>
        <v/>
      </c>
      <c r="B11" s="4"/>
      <c r="C11" s="4"/>
      <c r="D11" s="5"/>
      <c r="E11" s="6"/>
      <c r="F11" s="4"/>
      <c r="G11" s="4"/>
      <c r="H11" s="4"/>
      <c r="I11" s="3" t="str">
        <f>IF(H11="","",IF(COUNTIF(Catalogos!$A:$A,H11)&gt;0,"SI","NO"))</f>
        <v/>
      </c>
      <c r="J11" s="4"/>
      <c r="K11" s="3" t="str">
        <f>IF(OR(H11="",J11=""),"",IFERROR(INDEX(Catalogos!$C:$C,MATCH(H11&amp;"|"&amp;J11,Catalogos!$D:$D,0)),0))</f>
        <v/>
      </c>
      <c r="L11" s="4"/>
      <c r="M11" s="3" t="str">
        <f t="shared" si="1"/>
        <v/>
      </c>
      <c r="N11" s="4"/>
      <c r="O11" s="4"/>
      <c r="P11" s="4"/>
      <c r="Q11" s="4"/>
      <c r="R11" s="4"/>
      <c r="S11" s="3" t="str">
        <f t="shared" si="2"/>
        <v/>
      </c>
      <c r="T11" s="7"/>
      <c r="U11" s="7"/>
      <c r="V11" s="7"/>
      <c r="W11" s="7"/>
      <c r="X11" s="7"/>
      <c r="Y11" s="7"/>
      <c r="Z11" s="7"/>
      <c r="AA11" s="7"/>
      <c r="AB11" s="31" t="str">
        <f t="shared" si="3"/>
        <v/>
      </c>
      <c r="AC11" s="8" t="str">
        <f t="shared" si="4"/>
        <v/>
      </c>
      <c r="AD11" s="9" t="str">
        <f t="shared" si="5"/>
        <v/>
      </c>
      <c r="AE11" s="7"/>
    </row>
    <row r="12" spans="1:31" ht="15" customHeight="1" x14ac:dyDescent="0.2">
      <c r="A12" s="3" t="str">
        <f t="shared" si="0"/>
        <v/>
      </c>
      <c r="B12" s="4"/>
      <c r="C12" s="4"/>
      <c r="D12" s="5"/>
      <c r="E12" s="6"/>
      <c r="F12" s="4"/>
      <c r="G12" s="4"/>
      <c r="H12" s="4"/>
      <c r="I12" s="3" t="str">
        <f>IF(H12="","",IF(COUNTIF(Catalogos!$A:$A,H12)&gt;0,"SI","NO"))</f>
        <v/>
      </c>
      <c r="J12" s="4"/>
      <c r="K12" s="3" t="str">
        <f>IF(OR(H12="",J12=""),"",IFERROR(INDEX(Catalogos!$C:$C,MATCH(H12&amp;"|"&amp;J12,Catalogos!$D:$D,0)),0))</f>
        <v/>
      </c>
      <c r="L12" s="4"/>
      <c r="M12" s="3" t="str">
        <f t="shared" si="1"/>
        <v/>
      </c>
      <c r="N12" s="4"/>
      <c r="O12" s="4"/>
      <c r="P12" s="4"/>
      <c r="Q12" s="4"/>
      <c r="R12" s="4"/>
      <c r="S12" s="3" t="str">
        <f t="shared" si="2"/>
        <v/>
      </c>
      <c r="T12" s="7"/>
      <c r="U12" s="7"/>
      <c r="V12" s="7"/>
      <c r="W12" s="7"/>
      <c r="X12" s="7"/>
      <c r="Y12" s="7"/>
      <c r="Z12" s="7"/>
      <c r="AA12" s="7"/>
      <c r="AB12" s="31" t="str">
        <f t="shared" si="3"/>
        <v/>
      </c>
      <c r="AC12" s="8" t="str">
        <f t="shared" si="4"/>
        <v/>
      </c>
      <c r="AD12" s="9" t="str">
        <f t="shared" si="5"/>
        <v/>
      </c>
      <c r="AE12" s="7"/>
    </row>
    <row r="13" spans="1:31" ht="15" customHeight="1" x14ac:dyDescent="0.2">
      <c r="A13" s="3" t="str">
        <f t="shared" si="0"/>
        <v/>
      </c>
      <c r="B13" s="4"/>
      <c r="C13" s="4"/>
      <c r="D13" s="5"/>
      <c r="E13" s="6"/>
      <c r="F13" s="4"/>
      <c r="G13" s="4"/>
      <c r="H13" s="4"/>
      <c r="I13" s="3" t="str">
        <f>IF(H13="","",IF(COUNTIF(Catalogos!$A:$A,H13)&gt;0,"SI","NO"))</f>
        <v/>
      </c>
      <c r="J13" s="4"/>
      <c r="K13" s="3" t="str">
        <f>IF(OR(H13="",J13=""),"",IFERROR(INDEX(Catalogos!$C:$C,MATCH(H13&amp;"|"&amp;J13,Catalogos!$D:$D,0)),0))</f>
        <v/>
      </c>
      <c r="L13" s="4"/>
      <c r="M13" s="3" t="str">
        <f t="shared" si="1"/>
        <v/>
      </c>
      <c r="N13" s="4"/>
      <c r="O13" s="4"/>
      <c r="P13" s="4"/>
      <c r="Q13" s="4"/>
      <c r="R13" s="4"/>
      <c r="S13" s="3" t="str">
        <f t="shared" si="2"/>
        <v/>
      </c>
      <c r="T13" s="7"/>
      <c r="U13" s="7"/>
      <c r="V13" s="7"/>
      <c r="W13" s="7"/>
      <c r="X13" s="7"/>
      <c r="Y13" s="7"/>
      <c r="Z13" s="7"/>
      <c r="AA13" s="7"/>
      <c r="AB13" s="31" t="str">
        <f t="shared" si="3"/>
        <v/>
      </c>
      <c r="AC13" s="8" t="str">
        <f t="shared" si="4"/>
        <v/>
      </c>
      <c r="AD13" s="9" t="str">
        <f t="shared" si="5"/>
        <v/>
      </c>
      <c r="AE13" s="7"/>
    </row>
    <row r="14" spans="1:31" ht="15" customHeight="1" x14ac:dyDescent="0.2">
      <c r="A14" s="3" t="str">
        <f t="shared" si="0"/>
        <v/>
      </c>
      <c r="B14" s="4"/>
      <c r="C14" s="4"/>
      <c r="D14" s="5"/>
      <c r="E14" s="6"/>
      <c r="F14" s="4"/>
      <c r="G14" s="4"/>
      <c r="H14" s="4"/>
      <c r="I14" s="3" t="str">
        <f>IF(H14="","",IF(COUNTIF(Catalogos!$A:$A,H14)&gt;0,"SI","NO"))</f>
        <v/>
      </c>
      <c r="J14" s="4"/>
      <c r="K14" s="3" t="str">
        <f>IF(OR(H14="",J14=""),"",IFERROR(INDEX(Catalogos!$C:$C,MATCH(H14&amp;"|"&amp;J14,Catalogos!$D:$D,0)),0))</f>
        <v/>
      </c>
      <c r="L14" s="4"/>
      <c r="M14" s="3" t="str">
        <f t="shared" si="1"/>
        <v/>
      </c>
      <c r="N14" s="4"/>
      <c r="O14" s="4"/>
      <c r="P14" s="4"/>
      <c r="Q14" s="4"/>
      <c r="R14" s="4"/>
      <c r="S14" s="3" t="str">
        <f t="shared" si="2"/>
        <v/>
      </c>
      <c r="T14" s="7"/>
      <c r="U14" s="7"/>
      <c r="V14" s="7"/>
      <c r="W14" s="7"/>
      <c r="X14" s="7"/>
      <c r="Y14" s="7"/>
      <c r="Z14" s="7"/>
      <c r="AA14" s="7"/>
      <c r="AB14" s="31" t="str">
        <f t="shared" si="3"/>
        <v/>
      </c>
      <c r="AC14" s="8" t="str">
        <f t="shared" si="4"/>
        <v/>
      </c>
      <c r="AD14" s="9" t="str">
        <f t="shared" si="5"/>
        <v/>
      </c>
      <c r="AE14" s="7"/>
    </row>
    <row r="15" spans="1:31" ht="15" customHeight="1" x14ac:dyDescent="0.2">
      <c r="A15" s="3" t="str">
        <f t="shared" si="0"/>
        <v/>
      </c>
      <c r="B15" s="4"/>
      <c r="C15" s="4"/>
      <c r="D15" s="5"/>
      <c r="E15" s="6"/>
      <c r="F15" s="4"/>
      <c r="G15" s="4"/>
      <c r="H15" s="4"/>
      <c r="I15" s="3" t="str">
        <f>IF(H15="","",IF(COUNTIF(Catalogos!$A:$A,H15)&gt;0,"SI","NO"))</f>
        <v/>
      </c>
      <c r="J15" s="4"/>
      <c r="K15" s="3" t="str">
        <f>IF(OR(H15="",J15=""),"",IFERROR(INDEX(Catalogos!$C:$C,MATCH(H15&amp;"|"&amp;J15,Catalogos!$D:$D,0)),0))</f>
        <v/>
      </c>
      <c r="L15" s="4"/>
      <c r="M15" s="3" t="str">
        <f t="shared" si="1"/>
        <v/>
      </c>
      <c r="N15" s="4"/>
      <c r="O15" s="4"/>
      <c r="P15" s="4"/>
      <c r="Q15" s="4"/>
      <c r="R15" s="4"/>
      <c r="S15" s="3" t="str">
        <f t="shared" si="2"/>
        <v/>
      </c>
      <c r="T15" s="7"/>
      <c r="U15" s="7"/>
      <c r="V15" s="7"/>
      <c r="W15" s="7"/>
      <c r="X15" s="7"/>
      <c r="Y15" s="7"/>
      <c r="Z15" s="7"/>
      <c r="AA15" s="7"/>
      <c r="AB15" s="31" t="str">
        <f t="shared" si="3"/>
        <v/>
      </c>
      <c r="AC15" s="8" t="str">
        <f t="shared" si="4"/>
        <v/>
      </c>
      <c r="AD15" s="9" t="str">
        <f t="shared" si="5"/>
        <v/>
      </c>
      <c r="AE15" s="7"/>
    </row>
    <row r="16" spans="1:31" ht="15" customHeight="1" x14ac:dyDescent="0.2">
      <c r="A16" s="3" t="str">
        <f t="shared" si="0"/>
        <v/>
      </c>
      <c r="B16" s="4"/>
      <c r="C16" s="4"/>
      <c r="D16" s="5"/>
      <c r="E16" s="6"/>
      <c r="F16" s="4"/>
      <c r="G16" s="4"/>
      <c r="H16" s="4"/>
      <c r="I16" s="3" t="str">
        <f>IF(H16="","",IF(COUNTIF(Catalogos!$A:$A,H16)&gt;0,"SI","NO"))</f>
        <v/>
      </c>
      <c r="J16" s="4"/>
      <c r="K16" s="3" t="str">
        <f>IF(OR(H16="",J16=""),"",IFERROR(INDEX(Catalogos!$C:$C,MATCH(H16&amp;"|"&amp;J16,Catalogos!$D:$D,0)),0))</f>
        <v/>
      </c>
      <c r="L16" s="4"/>
      <c r="M16" s="3" t="str">
        <f t="shared" si="1"/>
        <v/>
      </c>
      <c r="N16" s="4"/>
      <c r="O16" s="4"/>
      <c r="P16" s="4"/>
      <c r="Q16" s="4"/>
      <c r="R16" s="4"/>
      <c r="S16" s="3" t="str">
        <f t="shared" si="2"/>
        <v/>
      </c>
      <c r="T16" s="7"/>
      <c r="U16" s="7"/>
      <c r="V16" s="7"/>
      <c r="W16" s="7"/>
      <c r="X16" s="7"/>
      <c r="Y16" s="7"/>
      <c r="Z16" s="7"/>
      <c r="AA16" s="7"/>
      <c r="AB16" s="31" t="str">
        <f t="shared" si="3"/>
        <v/>
      </c>
      <c r="AC16" s="8" t="str">
        <f t="shared" si="4"/>
        <v/>
      </c>
      <c r="AD16" s="9" t="str">
        <f t="shared" si="5"/>
        <v/>
      </c>
      <c r="AE16" s="7"/>
    </row>
    <row r="17" spans="1:31" ht="15" customHeight="1" x14ac:dyDescent="0.2">
      <c r="A17" s="3" t="str">
        <f t="shared" si="0"/>
        <v/>
      </c>
      <c r="B17" s="4"/>
      <c r="C17" s="4"/>
      <c r="D17" s="5"/>
      <c r="E17" s="6"/>
      <c r="F17" s="4"/>
      <c r="G17" s="4"/>
      <c r="H17" s="4"/>
      <c r="I17" s="3" t="str">
        <f>IF(H17="","",IF(COUNTIF(Catalogos!$A:$A,H17)&gt;0,"SI","NO"))</f>
        <v/>
      </c>
      <c r="J17" s="4"/>
      <c r="K17" s="3" t="str">
        <f>IF(OR(H17="",J17=""),"",IFERROR(INDEX(Catalogos!$C:$C,MATCH(H17&amp;"|"&amp;J17,Catalogos!$D:$D,0)),0))</f>
        <v/>
      </c>
      <c r="L17" s="4"/>
      <c r="M17" s="3" t="str">
        <f t="shared" si="1"/>
        <v/>
      </c>
      <c r="N17" s="4"/>
      <c r="O17" s="4"/>
      <c r="P17" s="4"/>
      <c r="Q17" s="4"/>
      <c r="R17" s="4"/>
      <c r="S17" s="3" t="str">
        <f t="shared" si="2"/>
        <v/>
      </c>
      <c r="T17" s="7"/>
      <c r="U17" s="7"/>
      <c r="V17" s="7"/>
      <c r="W17" s="7"/>
      <c r="X17" s="7"/>
      <c r="Y17" s="7"/>
      <c r="Z17" s="7"/>
      <c r="AA17" s="7"/>
      <c r="AB17" s="31" t="str">
        <f t="shared" si="3"/>
        <v/>
      </c>
      <c r="AC17" s="8" t="str">
        <f t="shared" si="4"/>
        <v/>
      </c>
      <c r="AD17" s="9" t="str">
        <f t="shared" si="5"/>
        <v/>
      </c>
      <c r="AE17" s="7"/>
    </row>
    <row r="18" spans="1:31" ht="15" customHeight="1" x14ac:dyDescent="0.2">
      <c r="A18" s="3" t="str">
        <f t="shared" si="0"/>
        <v/>
      </c>
      <c r="B18" s="4"/>
      <c r="C18" s="4"/>
      <c r="D18" s="5"/>
      <c r="E18" s="6"/>
      <c r="F18" s="4"/>
      <c r="G18" s="4"/>
      <c r="H18" s="4"/>
      <c r="I18" s="3" t="str">
        <f>IF(H18="","",IF(COUNTIF(Catalogos!$A:$A,H18)&gt;0,"SI","NO"))</f>
        <v/>
      </c>
      <c r="J18" s="4"/>
      <c r="K18" s="3" t="str">
        <f>IF(OR(H18="",J18=""),"",IFERROR(INDEX(Catalogos!$C:$C,MATCH(H18&amp;"|"&amp;J18,Catalogos!$D:$D,0)),0))</f>
        <v/>
      </c>
      <c r="L18" s="4"/>
      <c r="M18" s="3" t="str">
        <f t="shared" si="1"/>
        <v/>
      </c>
      <c r="N18" s="4"/>
      <c r="O18" s="4"/>
      <c r="P18" s="4"/>
      <c r="Q18" s="4"/>
      <c r="R18" s="4"/>
      <c r="S18" s="3" t="str">
        <f t="shared" si="2"/>
        <v/>
      </c>
      <c r="T18" s="7"/>
      <c r="U18" s="7"/>
      <c r="V18" s="7"/>
      <c r="W18" s="7"/>
      <c r="X18" s="7"/>
      <c r="Y18" s="7"/>
      <c r="Z18" s="7"/>
      <c r="AA18" s="7"/>
      <c r="AB18" s="31" t="str">
        <f t="shared" si="3"/>
        <v/>
      </c>
      <c r="AC18" s="8" t="str">
        <f t="shared" si="4"/>
        <v/>
      </c>
      <c r="AD18" s="9" t="str">
        <f t="shared" si="5"/>
        <v/>
      </c>
      <c r="AE18" s="7"/>
    </row>
    <row r="19" spans="1:31" ht="15" customHeight="1" x14ac:dyDescent="0.2">
      <c r="A19" s="3" t="str">
        <f t="shared" si="0"/>
        <v/>
      </c>
      <c r="B19" s="4"/>
      <c r="C19" s="4"/>
      <c r="D19" s="5"/>
      <c r="E19" s="6"/>
      <c r="F19" s="4"/>
      <c r="G19" s="4"/>
      <c r="H19" s="4"/>
      <c r="I19" s="3" t="str">
        <f>IF(H19="","",IF(COUNTIF(Catalogos!$A:$A,H19)&gt;0,"SI","NO"))</f>
        <v/>
      </c>
      <c r="J19" s="4"/>
      <c r="K19" s="3" t="str">
        <f>IF(OR(H19="",J19=""),"",IFERROR(INDEX(Catalogos!$C:$C,MATCH(H19&amp;"|"&amp;J19,Catalogos!$D:$D,0)),0))</f>
        <v/>
      </c>
      <c r="L19" s="4"/>
      <c r="M19" s="3" t="str">
        <f t="shared" si="1"/>
        <v/>
      </c>
      <c r="N19" s="4"/>
      <c r="O19" s="4"/>
      <c r="P19" s="4"/>
      <c r="Q19" s="4"/>
      <c r="R19" s="4"/>
      <c r="S19" s="3" t="str">
        <f t="shared" si="2"/>
        <v/>
      </c>
      <c r="T19" s="7"/>
      <c r="U19" s="7"/>
      <c r="V19" s="7"/>
      <c r="W19" s="7"/>
      <c r="X19" s="7"/>
      <c r="Y19" s="7"/>
      <c r="Z19" s="7"/>
      <c r="AA19" s="7"/>
      <c r="AB19" s="31" t="str">
        <f t="shared" si="3"/>
        <v/>
      </c>
      <c r="AC19" s="8" t="str">
        <f t="shared" si="4"/>
        <v/>
      </c>
      <c r="AD19" s="9" t="str">
        <f t="shared" si="5"/>
        <v/>
      </c>
      <c r="AE19" s="7"/>
    </row>
    <row r="20" spans="1:31" ht="15" customHeight="1" x14ac:dyDescent="0.2">
      <c r="A20" s="3" t="str">
        <f t="shared" si="0"/>
        <v/>
      </c>
      <c r="B20" s="4"/>
      <c r="C20" s="4"/>
      <c r="D20" s="5"/>
      <c r="E20" s="6"/>
      <c r="F20" s="4"/>
      <c r="G20" s="4"/>
      <c r="H20" s="4"/>
      <c r="I20" s="3" t="str">
        <f>IF(H20="","",IF(COUNTIF(Catalogos!$A:$A,H20)&gt;0,"SI","NO"))</f>
        <v/>
      </c>
      <c r="J20" s="4"/>
      <c r="K20" s="3" t="str">
        <f>IF(OR(H20="",J20=""),"",IFERROR(INDEX(Catalogos!$C:$C,MATCH(H20&amp;"|"&amp;J20,Catalogos!$D:$D,0)),0))</f>
        <v/>
      </c>
      <c r="L20" s="4"/>
      <c r="M20" s="3" t="str">
        <f t="shared" si="1"/>
        <v/>
      </c>
      <c r="N20" s="4"/>
      <c r="O20" s="4"/>
      <c r="P20" s="4"/>
      <c r="Q20" s="4"/>
      <c r="R20" s="4"/>
      <c r="S20" s="3" t="str">
        <f t="shared" si="2"/>
        <v/>
      </c>
      <c r="T20" s="7"/>
      <c r="U20" s="7"/>
      <c r="V20" s="7"/>
      <c r="W20" s="7"/>
      <c r="X20" s="7"/>
      <c r="Y20" s="7"/>
      <c r="Z20" s="7"/>
      <c r="AA20" s="7"/>
      <c r="AB20" s="31" t="str">
        <f t="shared" si="3"/>
        <v/>
      </c>
      <c r="AC20" s="8" t="str">
        <f t="shared" si="4"/>
        <v/>
      </c>
      <c r="AD20" s="9" t="str">
        <f t="shared" si="5"/>
        <v/>
      </c>
      <c r="AE20" s="7"/>
    </row>
    <row r="21" spans="1:31" ht="15" customHeight="1" x14ac:dyDescent="0.2">
      <c r="A21" s="3" t="str">
        <f t="shared" si="0"/>
        <v/>
      </c>
      <c r="B21" s="4"/>
      <c r="C21" s="4"/>
      <c r="D21" s="5"/>
      <c r="E21" s="6"/>
      <c r="F21" s="4"/>
      <c r="G21" s="4"/>
      <c r="H21" s="4"/>
      <c r="I21" s="3" t="str">
        <f>IF(H21="","",IF(COUNTIF(Catalogos!$A:$A,H21)&gt;0,"SI","NO"))</f>
        <v/>
      </c>
      <c r="J21" s="4"/>
      <c r="K21" s="3" t="str">
        <f>IF(OR(H21="",J21=""),"",IFERROR(INDEX(Catalogos!$C:$C,MATCH(H21&amp;"|"&amp;J21,Catalogos!$D:$D,0)),0))</f>
        <v/>
      </c>
      <c r="L21" s="4"/>
      <c r="M21" s="3" t="str">
        <f t="shared" si="1"/>
        <v/>
      </c>
      <c r="N21" s="4"/>
      <c r="O21" s="4"/>
      <c r="P21" s="4"/>
      <c r="Q21" s="4"/>
      <c r="R21" s="4"/>
      <c r="S21" s="3" t="str">
        <f t="shared" si="2"/>
        <v/>
      </c>
      <c r="T21" s="7"/>
      <c r="U21" s="7"/>
      <c r="V21" s="7"/>
      <c r="W21" s="7"/>
      <c r="X21" s="7"/>
      <c r="Y21" s="7"/>
      <c r="Z21" s="7"/>
      <c r="AA21" s="7"/>
      <c r="AB21" s="31" t="str">
        <f t="shared" si="3"/>
        <v/>
      </c>
      <c r="AC21" s="8" t="str">
        <f t="shared" si="4"/>
        <v/>
      </c>
      <c r="AD21" s="9" t="str">
        <f t="shared" si="5"/>
        <v/>
      </c>
      <c r="AE21" s="7"/>
    </row>
    <row r="22" spans="1:31" ht="15" customHeight="1" x14ac:dyDescent="0.2">
      <c r="A22" s="3" t="str">
        <f t="shared" si="0"/>
        <v/>
      </c>
      <c r="B22" s="4"/>
      <c r="C22" s="4"/>
      <c r="D22" s="5"/>
      <c r="E22" s="6"/>
      <c r="F22" s="4"/>
      <c r="G22" s="4"/>
      <c r="H22" s="4"/>
      <c r="I22" s="3" t="str">
        <f>IF(H22="","",IF(COUNTIF(Catalogos!$A:$A,H22)&gt;0,"SI","NO"))</f>
        <v/>
      </c>
      <c r="J22" s="4"/>
      <c r="K22" s="3" t="str">
        <f>IF(OR(H22="",J22=""),"",IFERROR(INDEX(Catalogos!$C:$C,MATCH(H22&amp;"|"&amp;J22,Catalogos!$D:$D,0)),0))</f>
        <v/>
      </c>
      <c r="L22" s="4"/>
      <c r="M22" s="3" t="str">
        <f t="shared" si="1"/>
        <v/>
      </c>
      <c r="N22" s="4"/>
      <c r="O22" s="4"/>
      <c r="P22" s="4"/>
      <c r="Q22" s="4"/>
      <c r="R22" s="4"/>
      <c r="S22" s="3" t="str">
        <f t="shared" si="2"/>
        <v/>
      </c>
      <c r="T22" s="7"/>
      <c r="U22" s="7"/>
      <c r="V22" s="7"/>
      <c r="W22" s="7"/>
      <c r="X22" s="7"/>
      <c r="Y22" s="7"/>
      <c r="Z22" s="7"/>
      <c r="AA22" s="7"/>
      <c r="AB22" s="31" t="str">
        <f t="shared" si="3"/>
        <v/>
      </c>
      <c r="AC22" s="8" t="str">
        <f t="shared" si="4"/>
        <v/>
      </c>
      <c r="AD22" s="9" t="str">
        <f t="shared" si="5"/>
        <v/>
      </c>
      <c r="AE22" s="7"/>
    </row>
    <row r="23" spans="1:31" ht="15" customHeight="1" x14ac:dyDescent="0.2">
      <c r="A23" s="3" t="str">
        <f t="shared" si="0"/>
        <v/>
      </c>
      <c r="B23" s="4"/>
      <c r="C23" s="4"/>
      <c r="D23" s="5"/>
      <c r="E23" s="6"/>
      <c r="F23" s="4"/>
      <c r="G23" s="4"/>
      <c r="H23" s="4"/>
      <c r="I23" s="3" t="str">
        <f>IF(H23="","",IF(COUNTIF(Catalogos!$A:$A,H23)&gt;0,"SI","NO"))</f>
        <v/>
      </c>
      <c r="J23" s="4"/>
      <c r="K23" s="3" t="str">
        <f>IF(OR(H23="",J23=""),"",IFERROR(INDEX(Catalogos!$C:$C,MATCH(H23&amp;"|"&amp;J23,Catalogos!$D:$D,0)),0))</f>
        <v/>
      </c>
      <c r="L23" s="4"/>
      <c r="M23" s="3" t="str">
        <f t="shared" si="1"/>
        <v/>
      </c>
      <c r="N23" s="4"/>
      <c r="O23" s="4"/>
      <c r="P23" s="4"/>
      <c r="Q23" s="4"/>
      <c r="R23" s="4"/>
      <c r="S23" s="3" t="str">
        <f t="shared" si="2"/>
        <v/>
      </c>
      <c r="T23" s="7"/>
      <c r="U23" s="7"/>
      <c r="V23" s="7"/>
      <c r="W23" s="7"/>
      <c r="X23" s="7"/>
      <c r="Y23" s="7"/>
      <c r="Z23" s="7"/>
      <c r="AA23" s="7"/>
      <c r="AB23" s="31" t="str">
        <f t="shared" si="3"/>
        <v/>
      </c>
      <c r="AC23" s="8" t="str">
        <f t="shared" si="4"/>
        <v/>
      </c>
      <c r="AD23" s="9" t="str">
        <f t="shared" si="5"/>
        <v/>
      </c>
      <c r="AE23" s="7"/>
    </row>
    <row r="24" spans="1:31" ht="15" customHeight="1" x14ac:dyDescent="0.2">
      <c r="A24" s="3" t="str">
        <f t="shared" si="0"/>
        <v/>
      </c>
      <c r="B24" s="4"/>
      <c r="C24" s="4"/>
      <c r="D24" s="5"/>
      <c r="E24" s="6"/>
      <c r="F24" s="4"/>
      <c r="G24" s="4"/>
      <c r="H24" s="4"/>
      <c r="I24" s="3" t="str">
        <f>IF(H24="","",IF(COUNTIF(Catalogos!$A:$A,H24)&gt;0,"SI","NO"))</f>
        <v/>
      </c>
      <c r="J24" s="4"/>
      <c r="K24" s="3" t="str">
        <f>IF(OR(H24="",J24=""),"",IFERROR(INDEX(Catalogos!$C:$C,MATCH(H24&amp;"|"&amp;J24,Catalogos!$D:$D,0)),0))</f>
        <v/>
      </c>
      <c r="L24" s="4"/>
      <c r="M24" s="3" t="str">
        <f t="shared" si="1"/>
        <v/>
      </c>
      <c r="N24" s="4"/>
      <c r="O24" s="4"/>
      <c r="P24" s="4"/>
      <c r="Q24" s="4"/>
      <c r="R24" s="4"/>
      <c r="S24" s="3" t="str">
        <f t="shared" si="2"/>
        <v/>
      </c>
      <c r="T24" s="7"/>
      <c r="U24" s="7"/>
      <c r="V24" s="7"/>
      <c r="W24" s="7"/>
      <c r="X24" s="7"/>
      <c r="Y24" s="7"/>
      <c r="Z24" s="7"/>
      <c r="AA24" s="7"/>
      <c r="AB24" s="31" t="str">
        <f t="shared" si="3"/>
        <v/>
      </c>
      <c r="AC24" s="8" t="str">
        <f t="shared" si="4"/>
        <v/>
      </c>
      <c r="AD24" s="9" t="str">
        <f t="shared" si="5"/>
        <v/>
      </c>
      <c r="AE24" s="7"/>
    </row>
    <row r="25" spans="1:31" ht="15" customHeight="1" x14ac:dyDescent="0.2">
      <c r="A25" s="3" t="str">
        <f t="shared" si="0"/>
        <v/>
      </c>
      <c r="B25" s="4"/>
      <c r="C25" s="4"/>
      <c r="D25" s="5"/>
      <c r="E25" s="6"/>
      <c r="F25" s="4"/>
      <c r="G25" s="4"/>
      <c r="H25" s="4"/>
      <c r="I25" s="3" t="str">
        <f>IF(H25="","",IF(COUNTIF(Catalogos!$A:$A,H25)&gt;0,"SI","NO"))</f>
        <v/>
      </c>
      <c r="J25" s="4"/>
      <c r="K25" s="3" t="str">
        <f>IF(OR(H25="",J25=""),"",IFERROR(INDEX(Catalogos!$C:$C,MATCH(H25&amp;"|"&amp;J25,Catalogos!$D:$D,0)),0))</f>
        <v/>
      </c>
      <c r="L25" s="4"/>
      <c r="M25" s="3" t="str">
        <f t="shared" si="1"/>
        <v/>
      </c>
      <c r="N25" s="4"/>
      <c r="O25" s="4"/>
      <c r="P25" s="4"/>
      <c r="Q25" s="4"/>
      <c r="R25" s="4"/>
      <c r="S25" s="3" t="str">
        <f t="shared" si="2"/>
        <v/>
      </c>
      <c r="T25" s="7"/>
      <c r="U25" s="7"/>
      <c r="V25" s="7"/>
      <c r="W25" s="7"/>
      <c r="X25" s="7"/>
      <c r="Y25" s="7"/>
      <c r="Z25" s="7"/>
      <c r="AA25" s="7"/>
      <c r="AB25" s="31" t="str">
        <f t="shared" si="3"/>
        <v/>
      </c>
      <c r="AC25" s="8" t="str">
        <f t="shared" si="4"/>
        <v/>
      </c>
      <c r="AD25" s="9" t="str">
        <f t="shared" si="5"/>
        <v/>
      </c>
      <c r="AE25" s="7"/>
    </row>
    <row r="26" spans="1:31" ht="15" customHeight="1" x14ac:dyDescent="0.2">
      <c r="A26" s="3" t="str">
        <f t="shared" si="0"/>
        <v/>
      </c>
      <c r="B26" s="4"/>
      <c r="C26" s="4"/>
      <c r="D26" s="5"/>
      <c r="E26" s="6"/>
      <c r="F26" s="4"/>
      <c r="G26" s="4"/>
      <c r="H26" s="4"/>
      <c r="I26" s="3" t="str">
        <f>IF(H26="","",IF(COUNTIF(Catalogos!$A:$A,H26)&gt;0,"SI","NO"))</f>
        <v/>
      </c>
      <c r="J26" s="4"/>
      <c r="K26" s="3" t="str">
        <f>IF(OR(H26="",J26=""),"",IFERROR(INDEX(Catalogos!$C:$C,MATCH(H26&amp;"|"&amp;J26,Catalogos!$D:$D,0)),0))</f>
        <v/>
      </c>
      <c r="L26" s="4"/>
      <c r="M26" s="3" t="str">
        <f t="shared" si="1"/>
        <v/>
      </c>
      <c r="N26" s="4"/>
      <c r="O26" s="4"/>
      <c r="P26" s="4"/>
      <c r="Q26" s="4"/>
      <c r="R26" s="4"/>
      <c r="S26" s="3" t="str">
        <f t="shared" si="2"/>
        <v/>
      </c>
      <c r="T26" s="7"/>
      <c r="U26" s="7"/>
      <c r="V26" s="7"/>
      <c r="W26" s="7"/>
      <c r="X26" s="7"/>
      <c r="Y26" s="7"/>
      <c r="Z26" s="7"/>
      <c r="AA26" s="7"/>
      <c r="AB26" s="31" t="str">
        <f t="shared" si="3"/>
        <v/>
      </c>
      <c r="AC26" s="8" t="str">
        <f t="shared" si="4"/>
        <v/>
      </c>
      <c r="AD26" s="9" t="str">
        <f t="shared" si="5"/>
        <v/>
      </c>
      <c r="AE26" s="7"/>
    </row>
    <row r="27" spans="1:31" ht="15" customHeight="1" x14ac:dyDescent="0.2">
      <c r="A27" s="3" t="str">
        <f t="shared" si="0"/>
        <v/>
      </c>
      <c r="B27" s="4"/>
      <c r="C27" s="4"/>
      <c r="D27" s="5"/>
      <c r="E27" s="6"/>
      <c r="F27" s="4"/>
      <c r="G27" s="4"/>
      <c r="H27" s="4"/>
      <c r="I27" s="3" t="str">
        <f>IF(H27="","",IF(COUNTIF(Catalogos!$A:$A,H27)&gt;0,"SI","NO"))</f>
        <v/>
      </c>
      <c r="J27" s="4"/>
      <c r="K27" s="3" t="str">
        <f>IF(OR(H27="",J27=""),"",IFERROR(INDEX(Catalogos!$C:$C,MATCH(H27&amp;"|"&amp;J27,Catalogos!$D:$D,0)),0))</f>
        <v/>
      </c>
      <c r="L27" s="4"/>
      <c r="M27" s="3" t="str">
        <f t="shared" si="1"/>
        <v/>
      </c>
      <c r="N27" s="4"/>
      <c r="O27" s="4"/>
      <c r="P27" s="4"/>
      <c r="Q27" s="4"/>
      <c r="R27" s="4"/>
      <c r="S27" s="3" t="str">
        <f t="shared" si="2"/>
        <v/>
      </c>
      <c r="T27" s="7"/>
      <c r="U27" s="7"/>
      <c r="V27" s="7"/>
      <c r="W27" s="7"/>
      <c r="X27" s="7"/>
      <c r="Y27" s="7"/>
      <c r="Z27" s="7"/>
      <c r="AA27" s="7"/>
      <c r="AB27" s="31" t="str">
        <f t="shared" si="3"/>
        <v/>
      </c>
      <c r="AC27" s="8" t="str">
        <f t="shared" si="4"/>
        <v/>
      </c>
      <c r="AD27" s="9" t="str">
        <f t="shared" si="5"/>
        <v/>
      </c>
      <c r="AE27" s="7"/>
    </row>
    <row r="28" spans="1:31" ht="15" customHeight="1" x14ac:dyDescent="0.2">
      <c r="A28" s="3" t="str">
        <f t="shared" si="0"/>
        <v/>
      </c>
      <c r="B28" s="4"/>
      <c r="C28" s="4"/>
      <c r="D28" s="5"/>
      <c r="E28" s="6"/>
      <c r="F28" s="4"/>
      <c r="G28" s="4"/>
      <c r="H28" s="4"/>
      <c r="I28" s="3" t="str">
        <f>IF(H28="","",IF(COUNTIF(Catalogos!$A:$A,H28)&gt;0,"SI","NO"))</f>
        <v/>
      </c>
      <c r="J28" s="4"/>
      <c r="K28" s="3" t="str">
        <f>IF(OR(H28="",J28=""),"",IFERROR(INDEX(Catalogos!$C:$C,MATCH(H28&amp;"|"&amp;J28,Catalogos!$D:$D,0)),0))</f>
        <v/>
      </c>
      <c r="L28" s="4"/>
      <c r="M28" s="3" t="str">
        <f t="shared" si="1"/>
        <v/>
      </c>
      <c r="N28" s="4"/>
      <c r="O28" s="4"/>
      <c r="P28" s="4"/>
      <c r="Q28" s="4"/>
      <c r="R28" s="4"/>
      <c r="S28" s="3" t="str">
        <f t="shared" si="2"/>
        <v/>
      </c>
      <c r="T28" s="7"/>
      <c r="U28" s="7"/>
      <c r="V28" s="7"/>
      <c r="W28" s="7"/>
      <c r="X28" s="7"/>
      <c r="Y28" s="7"/>
      <c r="Z28" s="7"/>
      <c r="AA28" s="7"/>
      <c r="AB28" s="31" t="str">
        <f t="shared" si="3"/>
        <v/>
      </c>
      <c r="AC28" s="8" t="str">
        <f t="shared" si="4"/>
        <v/>
      </c>
      <c r="AD28" s="9" t="str">
        <f t="shared" si="5"/>
        <v/>
      </c>
      <c r="AE28" s="7"/>
    </row>
    <row r="29" spans="1:31" ht="15" customHeight="1" x14ac:dyDescent="0.2">
      <c r="A29" s="3" t="str">
        <f t="shared" si="0"/>
        <v/>
      </c>
      <c r="B29" s="4"/>
      <c r="C29" s="4"/>
      <c r="D29" s="5"/>
      <c r="E29" s="6"/>
      <c r="F29" s="4"/>
      <c r="G29" s="4"/>
      <c r="H29" s="4"/>
      <c r="I29" s="3" t="str">
        <f>IF(H29="","",IF(COUNTIF(Catalogos!$A:$A,H29)&gt;0,"SI","NO"))</f>
        <v/>
      </c>
      <c r="J29" s="4"/>
      <c r="K29" s="3" t="str">
        <f>IF(OR(H29="",J29=""),"",IFERROR(INDEX(Catalogos!$C:$C,MATCH(H29&amp;"|"&amp;J29,Catalogos!$D:$D,0)),0))</f>
        <v/>
      </c>
      <c r="L29" s="4"/>
      <c r="M29" s="3" t="str">
        <f t="shared" si="1"/>
        <v/>
      </c>
      <c r="N29" s="4"/>
      <c r="O29" s="4"/>
      <c r="P29" s="4"/>
      <c r="Q29" s="4"/>
      <c r="R29" s="4"/>
      <c r="S29" s="3" t="str">
        <f t="shared" si="2"/>
        <v/>
      </c>
      <c r="T29" s="7"/>
      <c r="U29" s="7"/>
      <c r="V29" s="7"/>
      <c r="W29" s="7"/>
      <c r="X29" s="7"/>
      <c r="Y29" s="7"/>
      <c r="Z29" s="7"/>
      <c r="AA29" s="7"/>
      <c r="AB29" s="31" t="str">
        <f t="shared" si="3"/>
        <v/>
      </c>
      <c r="AC29" s="8" t="str">
        <f t="shared" si="4"/>
        <v/>
      </c>
      <c r="AD29" s="9" t="str">
        <f t="shared" si="5"/>
        <v/>
      </c>
      <c r="AE29" s="7"/>
    </row>
    <row r="30" spans="1:31" ht="15" customHeight="1" x14ac:dyDescent="0.2">
      <c r="A30" s="3" t="str">
        <f t="shared" si="0"/>
        <v/>
      </c>
      <c r="B30" s="4"/>
      <c r="C30" s="4"/>
      <c r="D30" s="5"/>
      <c r="E30" s="6"/>
      <c r="F30" s="4"/>
      <c r="G30" s="4"/>
      <c r="H30" s="4"/>
      <c r="I30" s="3" t="str">
        <f>IF(H30="","",IF(COUNTIF(Catalogos!$A:$A,H30)&gt;0,"SI","NO"))</f>
        <v/>
      </c>
      <c r="J30" s="4"/>
      <c r="K30" s="3" t="str">
        <f>IF(OR(H30="",J30=""),"",IFERROR(INDEX(Catalogos!$C:$C,MATCH(H30&amp;"|"&amp;J30,Catalogos!$D:$D,0)),0))</f>
        <v/>
      </c>
      <c r="L30" s="4"/>
      <c r="M30" s="3" t="str">
        <f t="shared" si="1"/>
        <v/>
      </c>
      <c r="N30" s="4"/>
      <c r="O30" s="4"/>
      <c r="P30" s="4"/>
      <c r="Q30" s="4"/>
      <c r="R30" s="4"/>
      <c r="S30" s="3" t="str">
        <f t="shared" si="2"/>
        <v/>
      </c>
      <c r="T30" s="7"/>
      <c r="U30" s="7"/>
      <c r="V30" s="7"/>
      <c r="W30" s="7"/>
      <c r="X30" s="7"/>
      <c r="Y30" s="7"/>
      <c r="Z30" s="7"/>
      <c r="AA30" s="7"/>
      <c r="AB30" s="31" t="str">
        <f t="shared" si="3"/>
        <v/>
      </c>
      <c r="AC30" s="8" t="str">
        <f t="shared" si="4"/>
        <v/>
      </c>
      <c r="AD30" s="9" t="str">
        <f t="shared" si="5"/>
        <v/>
      </c>
      <c r="AE30" s="7"/>
    </row>
    <row r="31" spans="1:31" ht="15" customHeight="1" x14ac:dyDescent="0.2">
      <c r="A31" s="3" t="str">
        <f t="shared" si="0"/>
        <v/>
      </c>
      <c r="B31" s="4"/>
      <c r="C31" s="4"/>
      <c r="D31" s="5"/>
      <c r="E31" s="6"/>
      <c r="F31" s="4"/>
      <c r="G31" s="4"/>
      <c r="H31" s="4"/>
      <c r="I31" s="3" t="str">
        <f>IF(H31="","",IF(COUNTIF(Catalogos!$A:$A,H31)&gt;0,"SI","NO"))</f>
        <v/>
      </c>
      <c r="J31" s="4"/>
      <c r="K31" s="3" t="str">
        <f>IF(OR(H31="",J31=""),"",IFERROR(INDEX(Catalogos!$C:$C,MATCH(H31&amp;"|"&amp;J31,Catalogos!$D:$D,0)),0))</f>
        <v/>
      </c>
      <c r="L31" s="4"/>
      <c r="M31" s="3" t="str">
        <f t="shared" si="1"/>
        <v/>
      </c>
      <c r="N31" s="4"/>
      <c r="O31" s="4"/>
      <c r="P31" s="4"/>
      <c r="Q31" s="4"/>
      <c r="R31" s="4"/>
      <c r="S31" s="3" t="str">
        <f t="shared" si="2"/>
        <v/>
      </c>
      <c r="T31" s="7"/>
      <c r="U31" s="7"/>
      <c r="V31" s="7"/>
      <c r="W31" s="7"/>
      <c r="X31" s="7"/>
      <c r="Y31" s="7"/>
      <c r="Z31" s="7"/>
      <c r="AA31" s="7"/>
      <c r="AB31" s="31" t="str">
        <f t="shared" si="3"/>
        <v/>
      </c>
      <c r="AC31" s="8" t="str">
        <f t="shared" si="4"/>
        <v/>
      </c>
      <c r="AD31" s="9" t="str">
        <f t="shared" si="5"/>
        <v/>
      </c>
      <c r="AE31" s="7"/>
    </row>
    <row r="32" spans="1:31" ht="15" customHeight="1" x14ac:dyDescent="0.2">
      <c r="A32" s="3" t="str">
        <f t="shared" si="0"/>
        <v/>
      </c>
      <c r="B32" s="4"/>
      <c r="C32" s="4"/>
      <c r="D32" s="5"/>
      <c r="E32" s="6"/>
      <c r="F32" s="4"/>
      <c r="G32" s="4"/>
      <c r="H32" s="4"/>
      <c r="I32" s="3" t="str">
        <f>IF(H32="","",IF(COUNTIF(Catalogos!$A:$A,H32)&gt;0,"SI","NO"))</f>
        <v/>
      </c>
      <c r="J32" s="4"/>
      <c r="K32" s="3" t="str">
        <f>IF(OR(H32="",J32=""),"",IFERROR(INDEX(Catalogos!$C:$C,MATCH(H32&amp;"|"&amp;J32,Catalogos!$D:$D,0)),0))</f>
        <v/>
      </c>
      <c r="L32" s="4"/>
      <c r="M32" s="3" t="str">
        <f t="shared" si="1"/>
        <v/>
      </c>
      <c r="N32" s="4"/>
      <c r="O32" s="4"/>
      <c r="P32" s="4"/>
      <c r="Q32" s="4"/>
      <c r="R32" s="4"/>
      <c r="S32" s="3" t="str">
        <f t="shared" si="2"/>
        <v/>
      </c>
      <c r="T32" s="7"/>
      <c r="U32" s="7"/>
      <c r="V32" s="7"/>
      <c r="W32" s="7"/>
      <c r="X32" s="7"/>
      <c r="Y32" s="7"/>
      <c r="Z32" s="7"/>
      <c r="AA32" s="7"/>
      <c r="AB32" s="31" t="str">
        <f t="shared" si="3"/>
        <v/>
      </c>
      <c r="AC32" s="8" t="str">
        <f t="shared" si="4"/>
        <v/>
      </c>
      <c r="AD32" s="9" t="str">
        <f t="shared" si="5"/>
        <v/>
      </c>
      <c r="AE32" s="7"/>
    </row>
    <row r="33" spans="1:31" ht="15" customHeight="1" x14ac:dyDescent="0.2">
      <c r="A33" s="3" t="str">
        <f t="shared" si="0"/>
        <v/>
      </c>
      <c r="B33" s="4"/>
      <c r="C33" s="4"/>
      <c r="D33" s="5"/>
      <c r="E33" s="6"/>
      <c r="F33" s="4"/>
      <c r="G33" s="4"/>
      <c r="H33" s="4"/>
      <c r="I33" s="3" t="str">
        <f>IF(H33="","",IF(COUNTIF(Catalogos!$A:$A,H33)&gt;0,"SI","NO"))</f>
        <v/>
      </c>
      <c r="J33" s="4"/>
      <c r="K33" s="3" t="str">
        <f>IF(OR(H33="",J33=""),"",IFERROR(INDEX(Catalogos!$C:$C,MATCH(H33&amp;"|"&amp;J33,Catalogos!$D:$D,0)),0))</f>
        <v/>
      </c>
      <c r="L33" s="4"/>
      <c r="M33" s="3" t="str">
        <f t="shared" si="1"/>
        <v/>
      </c>
      <c r="N33" s="4"/>
      <c r="O33" s="4"/>
      <c r="P33" s="4"/>
      <c r="Q33" s="4"/>
      <c r="R33" s="4"/>
      <c r="S33" s="3" t="str">
        <f t="shared" si="2"/>
        <v/>
      </c>
      <c r="T33" s="7"/>
      <c r="U33" s="7"/>
      <c r="V33" s="7"/>
      <c r="W33" s="7"/>
      <c r="X33" s="7"/>
      <c r="Y33" s="7"/>
      <c r="Z33" s="7"/>
      <c r="AA33" s="7"/>
      <c r="AB33" s="31" t="str">
        <f t="shared" si="3"/>
        <v/>
      </c>
      <c r="AC33" s="8" t="str">
        <f t="shared" si="4"/>
        <v/>
      </c>
      <c r="AD33" s="9" t="str">
        <f t="shared" si="5"/>
        <v/>
      </c>
      <c r="AE33" s="7"/>
    </row>
    <row r="34" spans="1:31" ht="15" customHeight="1" x14ac:dyDescent="0.2">
      <c r="A34" s="3" t="str">
        <f t="shared" si="0"/>
        <v/>
      </c>
      <c r="B34" s="4"/>
      <c r="C34" s="4"/>
      <c r="D34" s="5"/>
      <c r="E34" s="6"/>
      <c r="F34" s="4"/>
      <c r="G34" s="4"/>
      <c r="H34" s="4"/>
      <c r="I34" s="3" t="str">
        <f>IF(H34="","",IF(COUNTIF(Catalogos!$A:$A,H34)&gt;0,"SI","NO"))</f>
        <v/>
      </c>
      <c r="J34" s="4"/>
      <c r="K34" s="3" t="str">
        <f>IF(OR(H34="",J34=""),"",IFERROR(INDEX(Catalogos!$C:$C,MATCH(H34&amp;"|"&amp;J34,Catalogos!$D:$D,0)),0))</f>
        <v/>
      </c>
      <c r="L34" s="4"/>
      <c r="M34" s="3" t="str">
        <f t="shared" si="1"/>
        <v/>
      </c>
      <c r="N34" s="4"/>
      <c r="O34" s="4"/>
      <c r="P34" s="4"/>
      <c r="Q34" s="4"/>
      <c r="R34" s="4"/>
      <c r="S34" s="3" t="str">
        <f t="shared" si="2"/>
        <v/>
      </c>
      <c r="T34" s="7"/>
      <c r="U34" s="7"/>
      <c r="V34" s="7"/>
      <c r="W34" s="7"/>
      <c r="X34" s="7"/>
      <c r="Y34" s="7"/>
      <c r="Z34" s="7"/>
      <c r="AA34" s="7"/>
      <c r="AB34" s="31" t="str">
        <f t="shared" si="3"/>
        <v/>
      </c>
      <c r="AC34" s="8" t="str">
        <f t="shared" si="4"/>
        <v/>
      </c>
      <c r="AD34" s="9" t="str">
        <f t="shared" si="5"/>
        <v/>
      </c>
      <c r="AE34" s="7"/>
    </row>
    <row r="35" spans="1:31" ht="15" customHeight="1" x14ac:dyDescent="0.2">
      <c r="A35" s="3" t="str">
        <f t="shared" si="0"/>
        <v/>
      </c>
      <c r="B35" s="4"/>
      <c r="C35" s="4"/>
      <c r="D35" s="5"/>
      <c r="E35" s="6"/>
      <c r="F35" s="4"/>
      <c r="G35" s="4"/>
      <c r="H35" s="4"/>
      <c r="I35" s="3" t="str">
        <f>IF(H35="","",IF(COUNTIF(Catalogos!$A:$A,H35)&gt;0,"SI","NO"))</f>
        <v/>
      </c>
      <c r="J35" s="4"/>
      <c r="K35" s="3" t="str">
        <f>IF(OR(H35="",J35=""),"",IFERROR(INDEX(Catalogos!$C:$C,MATCH(H35&amp;"|"&amp;J35,Catalogos!$D:$D,0)),0))</f>
        <v/>
      </c>
      <c r="L35" s="4"/>
      <c r="M35" s="3" t="str">
        <f t="shared" si="1"/>
        <v/>
      </c>
      <c r="N35" s="4"/>
      <c r="O35" s="4"/>
      <c r="P35" s="4"/>
      <c r="Q35" s="4"/>
      <c r="R35" s="4"/>
      <c r="S35" s="3" t="str">
        <f t="shared" si="2"/>
        <v/>
      </c>
      <c r="T35" s="7"/>
      <c r="U35" s="7"/>
      <c r="V35" s="7"/>
      <c r="W35" s="7"/>
      <c r="X35" s="7"/>
      <c r="Y35" s="7"/>
      <c r="Z35" s="7"/>
      <c r="AA35" s="7"/>
      <c r="AB35" s="31" t="str">
        <f t="shared" si="3"/>
        <v/>
      </c>
      <c r="AC35" s="8" t="str">
        <f t="shared" si="4"/>
        <v/>
      </c>
      <c r="AD35" s="9" t="str">
        <f t="shared" si="5"/>
        <v/>
      </c>
      <c r="AE35" s="7"/>
    </row>
    <row r="36" spans="1:31" ht="15" customHeight="1" x14ac:dyDescent="0.2">
      <c r="A36" s="3" t="str">
        <f t="shared" ref="A36:A67" si="6">IF(B36="","",ROW()-3)</f>
        <v/>
      </c>
      <c r="B36" s="4"/>
      <c r="C36" s="4"/>
      <c r="D36" s="5"/>
      <c r="E36" s="6"/>
      <c r="F36" s="4"/>
      <c r="G36" s="4"/>
      <c r="H36" s="4"/>
      <c r="I36" s="3" t="str">
        <f>IF(H36="","",IF(COUNTIF(Catalogos!$A:$A,H36)&gt;0,"SI","NO"))</f>
        <v/>
      </c>
      <c r="J36" s="4"/>
      <c r="K36" s="3" t="str">
        <f>IF(OR(H36="",J36=""),"",IFERROR(INDEX(Catalogos!$C:$C,MATCH(H36&amp;"|"&amp;J36,Catalogos!$D:$D,0)),0))</f>
        <v/>
      </c>
      <c r="L36" s="4"/>
      <c r="M36" s="3" t="str">
        <f t="shared" ref="M36:M67" si="7">IF(L36="","",IF(L36&lt;1,0,MIN(ROUND(60+35*LN(L36)/LN(3),1),98)))</f>
        <v/>
      </c>
      <c r="N36" s="4"/>
      <c r="O36" s="4"/>
      <c r="P36" s="4"/>
      <c r="Q36" s="4"/>
      <c r="R36" s="4"/>
      <c r="S36" s="3" t="str">
        <f t="shared" ref="S36:S67" si="8">IF(OR(O36="",P36=""),"",ROUND(((O36/5)*100)*0.4+((P36/5)*100)*0.35+IF(R36="SI",100,0)*0.15+MIN(LEN(SUBSTITUTE(Q36," ",""))/3,1)*100*0.1,1))</f>
        <v/>
      </c>
      <c r="T36" s="7"/>
      <c r="U36" s="7"/>
      <c r="V36" s="7"/>
      <c r="W36" s="7"/>
      <c r="X36" s="7"/>
      <c r="Y36" s="7"/>
      <c r="Z36" s="7"/>
      <c r="AA36" s="7"/>
      <c r="AB36" s="31" t="str">
        <f t="shared" ref="AB36:AB67" si="9">IF(OR(T36="",V36="",X36="",Z36=""),"",ROUND(MAX(MIN(100-(T36*U36/25)*100,100),0)*0.3+MAX(MIN(100-(V36*W36/25)*100,100),0)*0.25+MAX(MIN(100-(X36*Y36/25)*100,100),0)*0.2+MAX(MIN(100-(Z36*AA36/25)*100,100),0)*0.15+10,1))</f>
        <v/>
      </c>
      <c r="AC36" s="8" t="str">
        <f t="shared" ref="AC36:AC67" si="10">IF(OR(M36="",S36="",AB36=""),"",IF(M36=0,0,ROUND(M36*0.4+S36*0.25+(IF(I36="SI",ROUND(70*0.2+((5+IF(K36="",5,K36))/20)*100*0.8,1),50))*0.2+AB36*0.15,1)))</f>
        <v/>
      </c>
      <c r="AD36" s="9" t="str">
        <f t="shared" ref="AD36:AD67" si="11">IF(AC36="","",IF(M36=0,"RECHAZADO",IF(AC36&gt;=85,"MUY ALTA",IF(AC36&gt;=70,"ALTA",IF(AC36&gt;=50,"MEDIA","BAJA")))))</f>
        <v/>
      </c>
      <c r="AE36" s="7"/>
    </row>
    <row r="37" spans="1:31" ht="15" customHeight="1" x14ac:dyDescent="0.2">
      <c r="A37" s="3" t="str">
        <f t="shared" si="6"/>
        <v/>
      </c>
      <c r="B37" s="4"/>
      <c r="C37" s="4"/>
      <c r="D37" s="5"/>
      <c r="E37" s="6"/>
      <c r="F37" s="4"/>
      <c r="G37" s="4"/>
      <c r="H37" s="4"/>
      <c r="I37" s="3" t="str">
        <f>IF(H37="","",IF(COUNTIF(Catalogos!$A:$A,H37)&gt;0,"SI","NO"))</f>
        <v/>
      </c>
      <c r="J37" s="4"/>
      <c r="K37" s="3" t="str">
        <f>IF(OR(H37="",J37=""),"",IFERROR(INDEX(Catalogos!$C:$C,MATCH(H37&amp;"|"&amp;J37,Catalogos!$D:$D,0)),0))</f>
        <v/>
      </c>
      <c r="L37" s="4"/>
      <c r="M37" s="3" t="str">
        <f t="shared" si="7"/>
        <v/>
      </c>
      <c r="N37" s="4"/>
      <c r="O37" s="4"/>
      <c r="P37" s="4"/>
      <c r="Q37" s="4"/>
      <c r="R37" s="4"/>
      <c r="S37" s="3" t="str">
        <f t="shared" si="8"/>
        <v/>
      </c>
      <c r="T37" s="7"/>
      <c r="U37" s="7"/>
      <c r="V37" s="7"/>
      <c r="W37" s="7"/>
      <c r="X37" s="7"/>
      <c r="Y37" s="7"/>
      <c r="Z37" s="7"/>
      <c r="AA37" s="7"/>
      <c r="AB37" s="31" t="str">
        <f t="shared" si="9"/>
        <v/>
      </c>
      <c r="AC37" s="8" t="str">
        <f t="shared" si="10"/>
        <v/>
      </c>
      <c r="AD37" s="9" t="str">
        <f t="shared" si="11"/>
        <v/>
      </c>
      <c r="AE37" s="7"/>
    </row>
    <row r="38" spans="1:31" ht="15" customHeight="1" x14ac:dyDescent="0.2">
      <c r="A38" s="3" t="str">
        <f t="shared" si="6"/>
        <v/>
      </c>
      <c r="B38" s="4"/>
      <c r="C38" s="4"/>
      <c r="D38" s="5"/>
      <c r="E38" s="6"/>
      <c r="F38" s="4"/>
      <c r="G38" s="4"/>
      <c r="H38" s="4"/>
      <c r="I38" s="3" t="str">
        <f>IF(H38="","",IF(COUNTIF(Catalogos!$A:$A,H38)&gt;0,"SI","NO"))</f>
        <v/>
      </c>
      <c r="J38" s="4"/>
      <c r="K38" s="3" t="str">
        <f>IF(OR(H38="",J38=""),"",IFERROR(INDEX(Catalogos!$C:$C,MATCH(H38&amp;"|"&amp;J38,Catalogos!$D:$D,0)),0))</f>
        <v/>
      </c>
      <c r="L38" s="4"/>
      <c r="M38" s="3" t="str">
        <f t="shared" si="7"/>
        <v/>
      </c>
      <c r="N38" s="4"/>
      <c r="O38" s="4"/>
      <c r="P38" s="4"/>
      <c r="Q38" s="4"/>
      <c r="R38" s="4"/>
      <c r="S38" s="3" t="str">
        <f t="shared" si="8"/>
        <v/>
      </c>
      <c r="T38" s="7"/>
      <c r="U38" s="7"/>
      <c r="V38" s="7"/>
      <c r="W38" s="7"/>
      <c r="X38" s="7"/>
      <c r="Y38" s="7"/>
      <c r="Z38" s="7"/>
      <c r="AA38" s="7"/>
      <c r="AB38" s="31" t="str">
        <f t="shared" si="9"/>
        <v/>
      </c>
      <c r="AC38" s="8" t="str">
        <f t="shared" si="10"/>
        <v/>
      </c>
      <c r="AD38" s="9" t="str">
        <f t="shared" si="11"/>
        <v/>
      </c>
      <c r="AE38" s="7"/>
    </row>
    <row r="39" spans="1:31" ht="15" customHeight="1" x14ac:dyDescent="0.2">
      <c r="A39" s="3" t="str">
        <f t="shared" si="6"/>
        <v/>
      </c>
      <c r="B39" s="4"/>
      <c r="C39" s="4"/>
      <c r="D39" s="5"/>
      <c r="E39" s="6"/>
      <c r="F39" s="4"/>
      <c r="G39" s="4"/>
      <c r="H39" s="4"/>
      <c r="I39" s="3" t="str">
        <f>IF(H39="","",IF(COUNTIF(Catalogos!$A:$A,H39)&gt;0,"SI","NO"))</f>
        <v/>
      </c>
      <c r="J39" s="4"/>
      <c r="K39" s="3" t="str">
        <f>IF(OR(H39="",J39=""),"",IFERROR(INDEX(Catalogos!$C:$C,MATCH(H39&amp;"|"&amp;J39,Catalogos!$D:$D,0)),0))</f>
        <v/>
      </c>
      <c r="L39" s="4"/>
      <c r="M39" s="3" t="str">
        <f t="shared" si="7"/>
        <v/>
      </c>
      <c r="N39" s="4"/>
      <c r="O39" s="4"/>
      <c r="P39" s="4"/>
      <c r="Q39" s="4"/>
      <c r="R39" s="4"/>
      <c r="S39" s="3" t="str">
        <f t="shared" si="8"/>
        <v/>
      </c>
      <c r="T39" s="7"/>
      <c r="U39" s="7"/>
      <c r="V39" s="7"/>
      <c r="W39" s="7"/>
      <c r="X39" s="7"/>
      <c r="Y39" s="7"/>
      <c r="Z39" s="7"/>
      <c r="AA39" s="7"/>
      <c r="AB39" s="31" t="str">
        <f t="shared" si="9"/>
        <v/>
      </c>
      <c r="AC39" s="8" t="str">
        <f t="shared" si="10"/>
        <v/>
      </c>
      <c r="AD39" s="9" t="str">
        <f t="shared" si="11"/>
        <v/>
      </c>
      <c r="AE39" s="7"/>
    </row>
    <row r="40" spans="1:31" ht="15" customHeight="1" x14ac:dyDescent="0.2">
      <c r="A40" s="3" t="str">
        <f t="shared" si="6"/>
        <v/>
      </c>
      <c r="B40" s="4"/>
      <c r="C40" s="4"/>
      <c r="D40" s="5"/>
      <c r="E40" s="6"/>
      <c r="F40" s="4"/>
      <c r="G40" s="4"/>
      <c r="H40" s="4"/>
      <c r="I40" s="3" t="str">
        <f>IF(H40="","",IF(COUNTIF(Catalogos!$A:$A,H40)&gt;0,"SI","NO"))</f>
        <v/>
      </c>
      <c r="J40" s="4"/>
      <c r="K40" s="3" t="str">
        <f>IF(OR(H40="",J40=""),"",IFERROR(INDEX(Catalogos!$C:$C,MATCH(H40&amp;"|"&amp;J40,Catalogos!$D:$D,0)),0))</f>
        <v/>
      </c>
      <c r="L40" s="4"/>
      <c r="M40" s="3" t="str">
        <f t="shared" si="7"/>
        <v/>
      </c>
      <c r="N40" s="4"/>
      <c r="O40" s="4"/>
      <c r="P40" s="4"/>
      <c r="Q40" s="4"/>
      <c r="R40" s="4"/>
      <c r="S40" s="3" t="str">
        <f t="shared" si="8"/>
        <v/>
      </c>
      <c r="T40" s="7"/>
      <c r="U40" s="7"/>
      <c r="V40" s="7"/>
      <c r="W40" s="7"/>
      <c r="X40" s="7"/>
      <c r="Y40" s="7"/>
      <c r="Z40" s="7"/>
      <c r="AA40" s="7"/>
      <c r="AB40" s="31" t="str">
        <f t="shared" si="9"/>
        <v/>
      </c>
      <c r="AC40" s="8" t="str">
        <f t="shared" si="10"/>
        <v/>
      </c>
      <c r="AD40" s="9" t="str">
        <f t="shared" si="11"/>
        <v/>
      </c>
      <c r="AE40" s="7"/>
    </row>
    <row r="41" spans="1:31" ht="15" customHeight="1" x14ac:dyDescent="0.2">
      <c r="A41" s="3" t="str">
        <f t="shared" si="6"/>
        <v/>
      </c>
      <c r="B41" s="4"/>
      <c r="C41" s="4"/>
      <c r="D41" s="5"/>
      <c r="E41" s="6"/>
      <c r="F41" s="4"/>
      <c r="G41" s="4"/>
      <c r="H41" s="4"/>
      <c r="I41" s="3" t="str">
        <f>IF(H41="","",IF(COUNTIF(Catalogos!$A:$A,H41)&gt;0,"SI","NO"))</f>
        <v/>
      </c>
      <c r="J41" s="4"/>
      <c r="K41" s="3" t="str">
        <f>IF(OR(H41="",J41=""),"",IFERROR(INDEX(Catalogos!$C:$C,MATCH(H41&amp;"|"&amp;J41,Catalogos!$D:$D,0)),0))</f>
        <v/>
      </c>
      <c r="L41" s="4"/>
      <c r="M41" s="3" t="str">
        <f t="shared" si="7"/>
        <v/>
      </c>
      <c r="N41" s="4"/>
      <c r="O41" s="4"/>
      <c r="P41" s="4"/>
      <c r="Q41" s="4"/>
      <c r="R41" s="4"/>
      <c r="S41" s="3" t="str">
        <f t="shared" si="8"/>
        <v/>
      </c>
      <c r="T41" s="7"/>
      <c r="U41" s="7"/>
      <c r="V41" s="7"/>
      <c r="W41" s="7"/>
      <c r="X41" s="7"/>
      <c r="Y41" s="7"/>
      <c r="Z41" s="7"/>
      <c r="AA41" s="7"/>
      <c r="AB41" s="31" t="str">
        <f t="shared" si="9"/>
        <v/>
      </c>
      <c r="AC41" s="8" t="str">
        <f t="shared" si="10"/>
        <v/>
      </c>
      <c r="AD41" s="9" t="str">
        <f t="shared" si="11"/>
        <v/>
      </c>
      <c r="AE41" s="7"/>
    </row>
    <row r="42" spans="1:31" ht="15" customHeight="1" x14ac:dyDescent="0.2">
      <c r="A42" s="3" t="str">
        <f t="shared" si="6"/>
        <v/>
      </c>
      <c r="B42" s="4"/>
      <c r="C42" s="4"/>
      <c r="D42" s="5"/>
      <c r="E42" s="6"/>
      <c r="F42" s="4"/>
      <c r="G42" s="4"/>
      <c r="H42" s="4"/>
      <c r="I42" s="3" t="str">
        <f>IF(H42="","",IF(COUNTIF(Catalogos!$A:$A,H42)&gt;0,"SI","NO"))</f>
        <v/>
      </c>
      <c r="J42" s="4"/>
      <c r="K42" s="3" t="str">
        <f>IF(OR(H42="",J42=""),"",IFERROR(INDEX(Catalogos!$C:$C,MATCH(H42&amp;"|"&amp;J42,Catalogos!$D:$D,0)),0))</f>
        <v/>
      </c>
      <c r="L42" s="4"/>
      <c r="M42" s="3" t="str">
        <f t="shared" si="7"/>
        <v/>
      </c>
      <c r="N42" s="4"/>
      <c r="O42" s="4"/>
      <c r="P42" s="4"/>
      <c r="Q42" s="4"/>
      <c r="R42" s="4"/>
      <c r="S42" s="3" t="str">
        <f t="shared" si="8"/>
        <v/>
      </c>
      <c r="T42" s="7"/>
      <c r="U42" s="7"/>
      <c r="V42" s="7"/>
      <c r="W42" s="7"/>
      <c r="X42" s="7"/>
      <c r="Y42" s="7"/>
      <c r="Z42" s="7"/>
      <c r="AA42" s="7"/>
      <c r="AB42" s="31" t="str">
        <f t="shared" si="9"/>
        <v/>
      </c>
      <c r="AC42" s="8" t="str">
        <f t="shared" si="10"/>
        <v/>
      </c>
      <c r="AD42" s="9" t="str">
        <f t="shared" si="11"/>
        <v/>
      </c>
      <c r="AE42" s="7"/>
    </row>
    <row r="43" spans="1:31" ht="15" customHeight="1" x14ac:dyDescent="0.2">
      <c r="A43" s="3" t="str">
        <f t="shared" si="6"/>
        <v/>
      </c>
      <c r="B43" s="4"/>
      <c r="C43" s="4"/>
      <c r="D43" s="5"/>
      <c r="E43" s="6"/>
      <c r="F43" s="4"/>
      <c r="G43" s="4"/>
      <c r="H43" s="4"/>
      <c r="I43" s="3" t="str">
        <f>IF(H43="","",IF(COUNTIF(Catalogos!$A:$A,H43)&gt;0,"SI","NO"))</f>
        <v/>
      </c>
      <c r="J43" s="4"/>
      <c r="K43" s="3" t="str">
        <f>IF(OR(H43="",J43=""),"",IFERROR(INDEX(Catalogos!$C:$C,MATCH(H43&amp;"|"&amp;J43,Catalogos!$D:$D,0)),0))</f>
        <v/>
      </c>
      <c r="L43" s="4"/>
      <c r="M43" s="3" t="str">
        <f t="shared" si="7"/>
        <v/>
      </c>
      <c r="N43" s="4"/>
      <c r="O43" s="4"/>
      <c r="P43" s="4"/>
      <c r="Q43" s="4"/>
      <c r="R43" s="4"/>
      <c r="S43" s="3" t="str">
        <f t="shared" si="8"/>
        <v/>
      </c>
      <c r="T43" s="7"/>
      <c r="U43" s="7"/>
      <c r="V43" s="7"/>
      <c r="W43" s="7"/>
      <c r="X43" s="7"/>
      <c r="Y43" s="7"/>
      <c r="Z43" s="7"/>
      <c r="AA43" s="7"/>
      <c r="AB43" s="31" t="str">
        <f t="shared" si="9"/>
        <v/>
      </c>
      <c r="AC43" s="8" t="str">
        <f t="shared" si="10"/>
        <v/>
      </c>
      <c r="AD43" s="9" t="str">
        <f t="shared" si="11"/>
        <v/>
      </c>
      <c r="AE43" s="7"/>
    </row>
    <row r="44" spans="1:31" ht="15" customHeight="1" x14ac:dyDescent="0.2">
      <c r="A44" s="3" t="str">
        <f t="shared" si="6"/>
        <v/>
      </c>
      <c r="B44" s="4"/>
      <c r="C44" s="4"/>
      <c r="D44" s="5"/>
      <c r="E44" s="6"/>
      <c r="F44" s="4"/>
      <c r="G44" s="4"/>
      <c r="H44" s="4"/>
      <c r="I44" s="3" t="str">
        <f>IF(H44="","",IF(COUNTIF(Catalogos!$A:$A,H44)&gt;0,"SI","NO"))</f>
        <v/>
      </c>
      <c r="J44" s="4"/>
      <c r="K44" s="3" t="str">
        <f>IF(OR(H44="",J44=""),"",IFERROR(INDEX(Catalogos!$C:$C,MATCH(H44&amp;"|"&amp;J44,Catalogos!$D:$D,0)),0))</f>
        <v/>
      </c>
      <c r="L44" s="4"/>
      <c r="M44" s="3" t="str">
        <f t="shared" si="7"/>
        <v/>
      </c>
      <c r="N44" s="4"/>
      <c r="O44" s="4"/>
      <c r="P44" s="4"/>
      <c r="Q44" s="4"/>
      <c r="R44" s="4"/>
      <c r="S44" s="3" t="str">
        <f t="shared" si="8"/>
        <v/>
      </c>
      <c r="T44" s="7"/>
      <c r="U44" s="7"/>
      <c r="V44" s="7"/>
      <c r="W44" s="7"/>
      <c r="X44" s="7"/>
      <c r="Y44" s="7"/>
      <c r="Z44" s="7"/>
      <c r="AA44" s="7"/>
      <c r="AB44" s="31" t="str">
        <f t="shared" si="9"/>
        <v/>
      </c>
      <c r="AC44" s="8" t="str">
        <f t="shared" si="10"/>
        <v/>
      </c>
      <c r="AD44" s="9" t="str">
        <f t="shared" si="11"/>
        <v/>
      </c>
      <c r="AE44" s="7"/>
    </row>
    <row r="45" spans="1:31" ht="15" customHeight="1" x14ac:dyDescent="0.2">
      <c r="A45" s="3" t="str">
        <f t="shared" si="6"/>
        <v/>
      </c>
      <c r="B45" s="4"/>
      <c r="C45" s="4"/>
      <c r="D45" s="5"/>
      <c r="E45" s="6"/>
      <c r="F45" s="4"/>
      <c r="G45" s="4"/>
      <c r="H45" s="4"/>
      <c r="I45" s="3" t="str">
        <f>IF(H45="","",IF(COUNTIF(Catalogos!$A:$A,H45)&gt;0,"SI","NO"))</f>
        <v/>
      </c>
      <c r="J45" s="4"/>
      <c r="K45" s="3" t="str">
        <f>IF(OR(H45="",J45=""),"",IFERROR(INDEX(Catalogos!$C:$C,MATCH(H45&amp;"|"&amp;J45,Catalogos!$D:$D,0)),0))</f>
        <v/>
      </c>
      <c r="L45" s="4"/>
      <c r="M45" s="3" t="str">
        <f t="shared" si="7"/>
        <v/>
      </c>
      <c r="N45" s="4"/>
      <c r="O45" s="4"/>
      <c r="P45" s="4"/>
      <c r="Q45" s="4"/>
      <c r="R45" s="4"/>
      <c r="S45" s="3" t="str">
        <f t="shared" si="8"/>
        <v/>
      </c>
      <c r="T45" s="7"/>
      <c r="U45" s="7"/>
      <c r="V45" s="7"/>
      <c r="W45" s="7"/>
      <c r="X45" s="7"/>
      <c r="Y45" s="7"/>
      <c r="Z45" s="7"/>
      <c r="AA45" s="7"/>
      <c r="AB45" s="31" t="str">
        <f t="shared" si="9"/>
        <v/>
      </c>
      <c r="AC45" s="8" t="str">
        <f t="shared" si="10"/>
        <v/>
      </c>
      <c r="AD45" s="9" t="str">
        <f t="shared" si="11"/>
        <v/>
      </c>
      <c r="AE45" s="7"/>
    </row>
    <row r="46" spans="1:31" ht="15" customHeight="1" x14ac:dyDescent="0.2">
      <c r="A46" s="3" t="str">
        <f t="shared" si="6"/>
        <v/>
      </c>
      <c r="B46" s="4"/>
      <c r="C46" s="4"/>
      <c r="D46" s="5"/>
      <c r="E46" s="6"/>
      <c r="F46" s="4"/>
      <c r="G46" s="4"/>
      <c r="H46" s="4"/>
      <c r="I46" s="3" t="str">
        <f>IF(H46="","",IF(COUNTIF(Catalogos!$A:$A,H46)&gt;0,"SI","NO"))</f>
        <v/>
      </c>
      <c r="J46" s="4"/>
      <c r="K46" s="3" t="str">
        <f>IF(OR(H46="",J46=""),"",IFERROR(INDEX(Catalogos!$C:$C,MATCH(H46&amp;"|"&amp;J46,Catalogos!$D:$D,0)),0))</f>
        <v/>
      </c>
      <c r="L46" s="4"/>
      <c r="M46" s="3" t="str">
        <f t="shared" si="7"/>
        <v/>
      </c>
      <c r="N46" s="4"/>
      <c r="O46" s="4"/>
      <c r="P46" s="4"/>
      <c r="Q46" s="4"/>
      <c r="R46" s="4"/>
      <c r="S46" s="3" t="str">
        <f t="shared" si="8"/>
        <v/>
      </c>
      <c r="T46" s="7"/>
      <c r="U46" s="7"/>
      <c r="V46" s="7"/>
      <c r="W46" s="7"/>
      <c r="X46" s="7"/>
      <c r="Y46" s="7"/>
      <c r="Z46" s="7"/>
      <c r="AA46" s="7"/>
      <c r="AB46" s="31" t="str">
        <f t="shared" si="9"/>
        <v/>
      </c>
      <c r="AC46" s="8" t="str">
        <f t="shared" si="10"/>
        <v/>
      </c>
      <c r="AD46" s="9" t="str">
        <f t="shared" si="11"/>
        <v/>
      </c>
      <c r="AE46" s="7"/>
    </row>
    <row r="47" spans="1:31" ht="15" customHeight="1" x14ac:dyDescent="0.2">
      <c r="A47" s="3" t="str">
        <f t="shared" si="6"/>
        <v/>
      </c>
      <c r="B47" s="4"/>
      <c r="C47" s="4"/>
      <c r="D47" s="5"/>
      <c r="E47" s="6"/>
      <c r="F47" s="4"/>
      <c r="G47" s="4"/>
      <c r="H47" s="4"/>
      <c r="I47" s="3" t="str">
        <f>IF(H47="","",IF(COUNTIF(Catalogos!$A:$A,H47)&gt;0,"SI","NO"))</f>
        <v/>
      </c>
      <c r="J47" s="4"/>
      <c r="K47" s="3" t="str">
        <f>IF(OR(H47="",J47=""),"",IFERROR(INDEX(Catalogos!$C:$C,MATCH(H47&amp;"|"&amp;J47,Catalogos!$D:$D,0)),0))</f>
        <v/>
      </c>
      <c r="L47" s="4"/>
      <c r="M47" s="3" t="str">
        <f t="shared" si="7"/>
        <v/>
      </c>
      <c r="N47" s="4"/>
      <c r="O47" s="4"/>
      <c r="P47" s="4"/>
      <c r="Q47" s="4"/>
      <c r="R47" s="4"/>
      <c r="S47" s="3" t="str">
        <f t="shared" si="8"/>
        <v/>
      </c>
      <c r="T47" s="7"/>
      <c r="U47" s="7"/>
      <c r="V47" s="7"/>
      <c r="W47" s="7"/>
      <c r="X47" s="7"/>
      <c r="Y47" s="7"/>
      <c r="Z47" s="7"/>
      <c r="AA47" s="7"/>
      <c r="AB47" s="31" t="str">
        <f t="shared" si="9"/>
        <v/>
      </c>
      <c r="AC47" s="8" t="str">
        <f t="shared" si="10"/>
        <v/>
      </c>
      <c r="AD47" s="9" t="str">
        <f t="shared" si="11"/>
        <v/>
      </c>
      <c r="AE47" s="7"/>
    </row>
    <row r="48" spans="1:31" ht="15" customHeight="1" x14ac:dyDescent="0.2">
      <c r="A48" s="3" t="str">
        <f t="shared" si="6"/>
        <v/>
      </c>
      <c r="B48" s="4"/>
      <c r="C48" s="4"/>
      <c r="D48" s="5"/>
      <c r="E48" s="6"/>
      <c r="F48" s="4"/>
      <c r="G48" s="4"/>
      <c r="H48" s="4"/>
      <c r="I48" s="3" t="str">
        <f>IF(H48="","",IF(COUNTIF(Catalogos!$A:$A,H48)&gt;0,"SI","NO"))</f>
        <v/>
      </c>
      <c r="J48" s="4"/>
      <c r="K48" s="3" t="str">
        <f>IF(OR(H48="",J48=""),"",IFERROR(INDEX(Catalogos!$C:$C,MATCH(H48&amp;"|"&amp;J48,Catalogos!$D:$D,0)),0))</f>
        <v/>
      </c>
      <c r="L48" s="4"/>
      <c r="M48" s="3" t="str">
        <f t="shared" si="7"/>
        <v/>
      </c>
      <c r="N48" s="4"/>
      <c r="O48" s="4"/>
      <c r="P48" s="4"/>
      <c r="Q48" s="4"/>
      <c r="R48" s="4"/>
      <c r="S48" s="3" t="str">
        <f t="shared" si="8"/>
        <v/>
      </c>
      <c r="T48" s="7"/>
      <c r="U48" s="7"/>
      <c r="V48" s="7"/>
      <c r="W48" s="7"/>
      <c r="X48" s="7"/>
      <c r="Y48" s="7"/>
      <c r="Z48" s="7"/>
      <c r="AA48" s="7"/>
      <c r="AB48" s="31" t="str">
        <f t="shared" si="9"/>
        <v/>
      </c>
      <c r="AC48" s="8" t="str">
        <f t="shared" si="10"/>
        <v/>
      </c>
      <c r="AD48" s="9" t="str">
        <f t="shared" si="11"/>
        <v/>
      </c>
      <c r="AE48" s="7"/>
    </row>
    <row r="49" spans="1:31" ht="15" customHeight="1" x14ac:dyDescent="0.2">
      <c r="A49" s="3" t="str">
        <f t="shared" si="6"/>
        <v/>
      </c>
      <c r="B49" s="4"/>
      <c r="C49" s="4"/>
      <c r="D49" s="5"/>
      <c r="E49" s="6"/>
      <c r="F49" s="4"/>
      <c r="G49" s="4"/>
      <c r="H49" s="4"/>
      <c r="I49" s="3" t="str">
        <f>IF(H49="","",IF(COUNTIF(Catalogos!$A:$A,H49)&gt;0,"SI","NO"))</f>
        <v/>
      </c>
      <c r="J49" s="4"/>
      <c r="K49" s="3" t="str">
        <f>IF(OR(H49="",J49=""),"",IFERROR(INDEX(Catalogos!$C:$C,MATCH(H49&amp;"|"&amp;J49,Catalogos!$D:$D,0)),0))</f>
        <v/>
      </c>
      <c r="L49" s="4"/>
      <c r="M49" s="3" t="str">
        <f t="shared" si="7"/>
        <v/>
      </c>
      <c r="N49" s="4"/>
      <c r="O49" s="4"/>
      <c r="P49" s="4"/>
      <c r="Q49" s="4"/>
      <c r="R49" s="4"/>
      <c r="S49" s="3" t="str">
        <f t="shared" si="8"/>
        <v/>
      </c>
      <c r="T49" s="7"/>
      <c r="U49" s="7"/>
      <c r="V49" s="7"/>
      <c r="W49" s="7"/>
      <c r="X49" s="7"/>
      <c r="Y49" s="7"/>
      <c r="Z49" s="7"/>
      <c r="AA49" s="7"/>
      <c r="AB49" s="31" t="str">
        <f t="shared" si="9"/>
        <v/>
      </c>
      <c r="AC49" s="8" t="str">
        <f t="shared" si="10"/>
        <v/>
      </c>
      <c r="AD49" s="9" t="str">
        <f t="shared" si="11"/>
        <v/>
      </c>
      <c r="AE49" s="7"/>
    </row>
    <row r="50" spans="1:31" ht="15" customHeight="1" x14ac:dyDescent="0.2">
      <c r="A50" s="3" t="str">
        <f t="shared" si="6"/>
        <v/>
      </c>
      <c r="B50" s="4"/>
      <c r="C50" s="4"/>
      <c r="D50" s="5"/>
      <c r="E50" s="6"/>
      <c r="F50" s="4"/>
      <c r="G50" s="4"/>
      <c r="H50" s="4"/>
      <c r="I50" s="3" t="str">
        <f>IF(H50="","",IF(COUNTIF(Catalogos!$A:$A,H50)&gt;0,"SI","NO"))</f>
        <v/>
      </c>
      <c r="J50" s="4"/>
      <c r="K50" s="3" t="str">
        <f>IF(OR(H50="",J50=""),"",IFERROR(INDEX(Catalogos!$C:$C,MATCH(H50&amp;"|"&amp;J50,Catalogos!$D:$D,0)),0))</f>
        <v/>
      </c>
      <c r="L50" s="4"/>
      <c r="M50" s="3" t="str">
        <f t="shared" si="7"/>
        <v/>
      </c>
      <c r="N50" s="4"/>
      <c r="O50" s="4"/>
      <c r="P50" s="4"/>
      <c r="Q50" s="4"/>
      <c r="R50" s="4"/>
      <c r="S50" s="3" t="str">
        <f t="shared" si="8"/>
        <v/>
      </c>
      <c r="T50" s="7"/>
      <c r="U50" s="7"/>
      <c r="V50" s="7"/>
      <c r="W50" s="7"/>
      <c r="X50" s="7"/>
      <c r="Y50" s="7"/>
      <c r="Z50" s="7"/>
      <c r="AA50" s="7"/>
      <c r="AB50" s="31" t="str">
        <f t="shared" si="9"/>
        <v/>
      </c>
      <c r="AC50" s="8" t="str">
        <f t="shared" si="10"/>
        <v/>
      </c>
      <c r="AD50" s="9" t="str">
        <f t="shared" si="11"/>
        <v/>
      </c>
      <c r="AE50" s="7"/>
    </row>
    <row r="51" spans="1:31" ht="15" customHeight="1" x14ac:dyDescent="0.2">
      <c r="A51" s="3" t="str">
        <f t="shared" si="6"/>
        <v/>
      </c>
      <c r="B51" s="4"/>
      <c r="C51" s="4"/>
      <c r="D51" s="5"/>
      <c r="E51" s="6"/>
      <c r="F51" s="4"/>
      <c r="G51" s="4"/>
      <c r="H51" s="4"/>
      <c r="I51" s="3" t="str">
        <f>IF(H51="","",IF(COUNTIF(Catalogos!$A:$A,H51)&gt;0,"SI","NO"))</f>
        <v/>
      </c>
      <c r="J51" s="4"/>
      <c r="K51" s="3" t="str">
        <f>IF(OR(H51="",J51=""),"",IFERROR(INDEX(Catalogos!$C:$C,MATCH(H51&amp;"|"&amp;J51,Catalogos!$D:$D,0)),0))</f>
        <v/>
      </c>
      <c r="L51" s="4"/>
      <c r="M51" s="3" t="str">
        <f t="shared" si="7"/>
        <v/>
      </c>
      <c r="N51" s="4"/>
      <c r="O51" s="4"/>
      <c r="P51" s="4"/>
      <c r="Q51" s="4"/>
      <c r="R51" s="4"/>
      <c r="S51" s="3" t="str">
        <f t="shared" si="8"/>
        <v/>
      </c>
      <c r="T51" s="7"/>
      <c r="U51" s="7"/>
      <c r="V51" s="7"/>
      <c r="W51" s="7"/>
      <c r="X51" s="7"/>
      <c r="Y51" s="7"/>
      <c r="Z51" s="7"/>
      <c r="AA51" s="7"/>
      <c r="AB51" s="31" t="str">
        <f t="shared" si="9"/>
        <v/>
      </c>
      <c r="AC51" s="8" t="str">
        <f t="shared" si="10"/>
        <v/>
      </c>
      <c r="AD51" s="9" t="str">
        <f t="shared" si="11"/>
        <v/>
      </c>
      <c r="AE51" s="7"/>
    </row>
    <row r="52" spans="1:31" ht="15" customHeight="1" x14ac:dyDescent="0.2">
      <c r="A52" s="3" t="str">
        <f t="shared" si="6"/>
        <v/>
      </c>
      <c r="B52" s="4"/>
      <c r="C52" s="4"/>
      <c r="D52" s="5"/>
      <c r="E52" s="6"/>
      <c r="F52" s="4"/>
      <c r="G52" s="4"/>
      <c r="H52" s="4"/>
      <c r="I52" s="3" t="str">
        <f>IF(H52="","",IF(COUNTIF(Catalogos!$A:$A,H52)&gt;0,"SI","NO"))</f>
        <v/>
      </c>
      <c r="J52" s="4"/>
      <c r="K52" s="3" t="str">
        <f>IF(OR(H52="",J52=""),"",IFERROR(INDEX(Catalogos!$C:$C,MATCH(H52&amp;"|"&amp;J52,Catalogos!$D:$D,0)),0))</f>
        <v/>
      </c>
      <c r="L52" s="4"/>
      <c r="M52" s="3" t="str">
        <f t="shared" si="7"/>
        <v/>
      </c>
      <c r="N52" s="4"/>
      <c r="O52" s="4"/>
      <c r="P52" s="4"/>
      <c r="Q52" s="4"/>
      <c r="R52" s="4"/>
      <c r="S52" s="3" t="str">
        <f t="shared" si="8"/>
        <v/>
      </c>
      <c r="T52" s="7"/>
      <c r="U52" s="7"/>
      <c r="V52" s="7"/>
      <c r="W52" s="7"/>
      <c r="X52" s="7"/>
      <c r="Y52" s="7"/>
      <c r="Z52" s="7"/>
      <c r="AA52" s="7"/>
      <c r="AB52" s="31" t="str">
        <f t="shared" si="9"/>
        <v/>
      </c>
      <c r="AC52" s="8" t="str">
        <f t="shared" si="10"/>
        <v/>
      </c>
      <c r="AD52" s="9" t="str">
        <f t="shared" si="11"/>
        <v/>
      </c>
      <c r="AE52" s="7"/>
    </row>
    <row r="53" spans="1:31" ht="15" customHeight="1" x14ac:dyDescent="0.2">
      <c r="A53" s="3" t="str">
        <f t="shared" si="6"/>
        <v/>
      </c>
      <c r="B53" s="4"/>
      <c r="C53" s="4"/>
      <c r="D53" s="5"/>
      <c r="E53" s="6"/>
      <c r="F53" s="4"/>
      <c r="G53" s="4"/>
      <c r="H53" s="4"/>
      <c r="I53" s="3" t="str">
        <f>IF(H53="","",IF(COUNTIF(Catalogos!$A:$A,H53)&gt;0,"SI","NO"))</f>
        <v/>
      </c>
      <c r="J53" s="4"/>
      <c r="K53" s="3" t="str">
        <f>IF(OR(H53="",J53=""),"",IFERROR(INDEX(Catalogos!$C:$C,MATCH(H53&amp;"|"&amp;J53,Catalogos!$D:$D,0)),0))</f>
        <v/>
      </c>
      <c r="L53" s="4"/>
      <c r="M53" s="3" t="str">
        <f t="shared" si="7"/>
        <v/>
      </c>
      <c r="N53" s="4"/>
      <c r="O53" s="4"/>
      <c r="P53" s="4"/>
      <c r="Q53" s="4"/>
      <c r="R53" s="4"/>
      <c r="S53" s="3" t="str">
        <f t="shared" si="8"/>
        <v/>
      </c>
      <c r="T53" s="7"/>
      <c r="U53" s="7"/>
      <c r="V53" s="7"/>
      <c r="W53" s="7"/>
      <c r="X53" s="7"/>
      <c r="Y53" s="7"/>
      <c r="Z53" s="7"/>
      <c r="AA53" s="7"/>
      <c r="AB53" s="31" t="str">
        <f t="shared" si="9"/>
        <v/>
      </c>
      <c r="AC53" s="8" t="str">
        <f t="shared" si="10"/>
        <v/>
      </c>
      <c r="AD53" s="9" t="str">
        <f t="shared" si="11"/>
        <v/>
      </c>
      <c r="AE53" s="7"/>
    </row>
  </sheetData>
  <mergeCells count="7">
    <mergeCell ref="O2:S2"/>
    <mergeCell ref="B2:F2"/>
    <mergeCell ref="G2:K2"/>
    <mergeCell ref="T2:AA2"/>
    <mergeCell ref="A1:AE1"/>
    <mergeCell ref="AB2:AE2"/>
    <mergeCell ref="L2:N2"/>
  </mergeCells>
  <dataValidations count="4">
    <dataValidation type="whole" allowBlank="1" errorTitle="Valor fuera de rango" error="Ingrese un valor entre 1 y 5" sqref="O4:P53 T4:AA53" xr:uid="{00000000-0002-0000-0000-000000000000}">
      <formula1>1</formula1>
      <formula2>5</formula2>
    </dataValidation>
    <dataValidation type="list" allowBlank="1" sqref="R4:R53" xr:uid="{00000000-0002-0000-0000-000001000000}">
      <formula1>"SI,NO"</formula1>
      <formula2>0</formula2>
    </dataValidation>
    <dataValidation type="list" allowBlank="1" sqref="AE4:AE53" xr:uid="{00000000-0002-0000-0000-000002000000}">
      <formula1>"Pendiente,Presentado,Aprobado,Rechazado,En Revision"</formula1>
      <formula2>0</formula2>
    </dataValidation>
    <dataValidation type="list" allowBlank="1" sqref="J4:J53" xr:uid="{00000000-0002-0000-0000-000003000000}">
      <formula1>"Educacion,Salud,Infraestructura Rural,Infraestructura Urbana,Agua y Saneamiento,Vivienda,Energia,Desarrollo Productivo,Conectividad,Cultura y Deporte"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7AE60"/>
  </sheetPr>
  <dimension ref="A1:L52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sqref="A1:L1"/>
    </sheetView>
  </sheetViews>
  <sheetFormatPr baseColWidth="10" defaultColWidth="8.6640625" defaultRowHeight="15" customHeight="1" x14ac:dyDescent="0.2"/>
  <cols>
    <col min="1" max="1" width="6" customWidth="1"/>
    <col min="2" max="2" width="30" customWidth="1"/>
    <col min="3" max="3" width="14" customWidth="1"/>
    <col min="4" max="4" width="12" customWidth="1"/>
    <col min="5" max="5" width="14" customWidth="1"/>
    <col min="6" max="6" width="12" customWidth="1"/>
    <col min="7" max="7" width="14" customWidth="1"/>
    <col min="8" max="8" width="12" customWidth="1"/>
    <col min="9" max="9" width="14" customWidth="1"/>
    <col min="10" max="10" width="12" customWidth="1"/>
    <col min="11" max="12" width="14" customWidth="1"/>
  </cols>
  <sheetData>
    <row r="1" spans="1:12" ht="30" customHeight="1" x14ac:dyDescent="0.2">
      <c r="A1" s="50" t="s">
        <v>38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</row>
    <row r="2" spans="1:12" ht="45" customHeight="1" x14ac:dyDescent="0.2">
      <c r="A2" s="10" t="s">
        <v>1</v>
      </c>
      <c r="B2" s="10" t="s">
        <v>39</v>
      </c>
      <c r="C2" s="10" t="s">
        <v>40</v>
      </c>
      <c r="D2" s="10" t="s">
        <v>41</v>
      </c>
      <c r="E2" s="10" t="s">
        <v>42</v>
      </c>
      <c r="F2" s="10" t="s">
        <v>43</v>
      </c>
      <c r="G2" s="32" t="s">
        <v>44</v>
      </c>
      <c r="H2" s="10" t="s">
        <v>45</v>
      </c>
      <c r="I2" s="10" t="s">
        <v>46</v>
      </c>
      <c r="J2" s="10" t="s">
        <v>47</v>
      </c>
      <c r="K2" s="10" t="s">
        <v>35</v>
      </c>
      <c r="L2" s="10" t="s">
        <v>48</v>
      </c>
    </row>
    <row r="3" spans="1:12" ht="15" customHeight="1" x14ac:dyDescent="0.2">
      <c r="A3" s="3" t="str">
        <f>IF('Registro Proyectos'!B4="","",ROW()-2)</f>
        <v/>
      </c>
      <c r="B3" s="11" t="str">
        <f>IF('Registro Proyectos'!B4="","",'Registro Proyectos'!B4)</f>
        <v/>
      </c>
      <c r="C3" s="3" t="str">
        <f>IF(B3="","",'Registro Proyectos'!M4)</f>
        <v/>
      </c>
      <c r="D3" s="12" t="str">
        <f t="shared" ref="D3:D34" si="0">IF(C3="","",ROUND(C3*0.4,1))</f>
        <v/>
      </c>
      <c r="E3" s="3" t="str">
        <f>IF(B3="","",'Registro Proyectos'!S4)</f>
        <v/>
      </c>
      <c r="F3" s="12" t="str">
        <f t="shared" ref="F3:F34" si="1">IF(E3="","",ROUND(E3*0.25,1))</f>
        <v/>
      </c>
      <c r="G3" s="3" t="str">
        <f>IF(B3="","",IF('Registro Proyectos'!I4="SI",ROUND(70*0.2+((5+IF('Registro Proyectos'!K4="",5,'Registro Proyectos'!K4))/20)*100*0.8,1),50))</f>
        <v/>
      </c>
      <c r="H3" s="12" t="str">
        <f t="shared" ref="H3:H34" si="2">IF(G3="","",ROUND(G3*0.2,1))</f>
        <v/>
      </c>
      <c r="I3" s="3" t="str">
        <f>IF(B3="","",'Registro Proyectos'!AB4)</f>
        <v/>
      </c>
      <c r="J3" s="12" t="str">
        <f t="shared" ref="J3:J34" si="3">IF(I3="","",ROUND(I3*0.15,1))</f>
        <v/>
      </c>
      <c r="K3" s="13" t="str">
        <f>IF(B3="","",'Registro Proyectos'!AC4)</f>
        <v/>
      </c>
      <c r="L3" s="9" t="str">
        <f t="shared" ref="L3:L34" si="4">IF(K3="","",IF(C3=0,"RECHAZADO",IF(K3&gt;=85,"MUY ALTA",IF(K3&gt;=70,"ALTA",IF(K3&gt;=50,"MEDIA","BAJA")))))</f>
        <v/>
      </c>
    </row>
    <row r="4" spans="1:12" ht="15" customHeight="1" x14ac:dyDescent="0.2">
      <c r="A4" s="3" t="str">
        <f>IF('Registro Proyectos'!B5="","",ROW()-2)</f>
        <v/>
      </c>
      <c r="B4" s="11" t="str">
        <f>IF('Registro Proyectos'!B5="","",'Registro Proyectos'!B5)</f>
        <v/>
      </c>
      <c r="C4" s="3" t="str">
        <f>IF(B4="","",'Registro Proyectos'!M5)</f>
        <v/>
      </c>
      <c r="D4" s="12" t="str">
        <f t="shared" si="0"/>
        <v/>
      </c>
      <c r="E4" s="3" t="str">
        <f>IF(B4="","",'Registro Proyectos'!S5)</f>
        <v/>
      </c>
      <c r="F4" s="12" t="str">
        <f t="shared" si="1"/>
        <v/>
      </c>
      <c r="G4" s="3" t="str">
        <f>IF(B4="","",IF('Registro Proyectos'!I5="SI",ROUND(70*0.2+((5+IF('Registro Proyectos'!K5="",5,'Registro Proyectos'!K5))/20)*100*0.8,1),50))</f>
        <v/>
      </c>
      <c r="H4" s="12" t="str">
        <f t="shared" si="2"/>
        <v/>
      </c>
      <c r="I4" s="3" t="str">
        <f>IF(B4="","",'Registro Proyectos'!AB5)</f>
        <v/>
      </c>
      <c r="J4" s="12" t="str">
        <f t="shared" si="3"/>
        <v/>
      </c>
      <c r="K4" s="13" t="str">
        <f>IF(B4="","",'Registro Proyectos'!AC5)</f>
        <v/>
      </c>
      <c r="L4" s="9" t="str">
        <f t="shared" si="4"/>
        <v/>
      </c>
    </row>
    <row r="5" spans="1:12" ht="15" customHeight="1" x14ac:dyDescent="0.2">
      <c r="A5" s="3" t="str">
        <f>IF('Registro Proyectos'!B6="","",ROW()-2)</f>
        <v/>
      </c>
      <c r="B5" s="11" t="str">
        <f>IF('Registro Proyectos'!B6="","",'Registro Proyectos'!B6)</f>
        <v/>
      </c>
      <c r="C5" s="3" t="str">
        <f>IF(B5="","",'Registro Proyectos'!M6)</f>
        <v/>
      </c>
      <c r="D5" s="12" t="str">
        <f t="shared" si="0"/>
        <v/>
      </c>
      <c r="E5" s="3" t="str">
        <f>IF(B5="","",'Registro Proyectos'!S6)</f>
        <v/>
      </c>
      <c r="F5" s="12" t="str">
        <f t="shared" si="1"/>
        <v/>
      </c>
      <c r="G5" s="3" t="str">
        <f>IF(B5="","",IF('Registro Proyectos'!I6="SI",ROUND(70*0.2+((5+IF('Registro Proyectos'!K6="",5,'Registro Proyectos'!K6))/20)*100*0.8,1),50))</f>
        <v/>
      </c>
      <c r="H5" s="12" t="str">
        <f t="shared" si="2"/>
        <v/>
      </c>
      <c r="I5" s="3" t="str">
        <f>IF(B5="","",'Registro Proyectos'!AB6)</f>
        <v/>
      </c>
      <c r="J5" s="12" t="str">
        <f t="shared" si="3"/>
        <v/>
      </c>
      <c r="K5" s="13" t="str">
        <f>IF(B5="","",'Registro Proyectos'!AC6)</f>
        <v/>
      </c>
      <c r="L5" s="9" t="str">
        <f t="shared" si="4"/>
        <v/>
      </c>
    </row>
    <row r="6" spans="1:12" ht="15" customHeight="1" x14ac:dyDescent="0.2">
      <c r="A6" s="3" t="str">
        <f>IF('Registro Proyectos'!B7="","",ROW()-2)</f>
        <v/>
      </c>
      <c r="B6" s="11" t="str">
        <f>IF('Registro Proyectos'!B7="","",'Registro Proyectos'!B7)</f>
        <v/>
      </c>
      <c r="C6" s="3" t="str">
        <f>IF(B6="","",'Registro Proyectos'!M7)</f>
        <v/>
      </c>
      <c r="D6" s="12" t="str">
        <f t="shared" si="0"/>
        <v/>
      </c>
      <c r="E6" s="3" t="str">
        <f>IF(B6="","",'Registro Proyectos'!S7)</f>
        <v/>
      </c>
      <c r="F6" s="12" t="str">
        <f t="shared" si="1"/>
        <v/>
      </c>
      <c r="G6" s="3" t="str">
        <f>IF(B6="","",IF('Registro Proyectos'!I7="SI",ROUND(70*0.2+((5+IF('Registro Proyectos'!K7="",5,'Registro Proyectos'!K7))/20)*100*0.8,1),50))</f>
        <v/>
      </c>
      <c r="H6" s="12" t="str">
        <f t="shared" si="2"/>
        <v/>
      </c>
      <c r="I6" s="3" t="str">
        <f>IF(B6="","",'Registro Proyectos'!AB7)</f>
        <v/>
      </c>
      <c r="J6" s="12" t="str">
        <f t="shared" si="3"/>
        <v/>
      </c>
      <c r="K6" s="13" t="str">
        <f>IF(B6="","",'Registro Proyectos'!AC7)</f>
        <v/>
      </c>
      <c r="L6" s="9" t="str">
        <f t="shared" si="4"/>
        <v/>
      </c>
    </row>
    <row r="7" spans="1:12" ht="15" customHeight="1" x14ac:dyDescent="0.2">
      <c r="A7" s="3" t="str">
        <f>IF('Registro Proyectos'!B8="","",ROW()-2)</f>
        <v/>
      </c>
      <c r="B7" s="11" t="str">
        <f>IF('Registro Proyectos'!B8="","",'Registro Proyectos'!B8)</f>
        <v/>
      </c>
      <c r="C7" s="3" t="str">
        <f>IF(B7="","",'Registro Proyectos'!M8)</f>
        <v/>
      </c>
      <c r="D7" s="12" t="str">
        <f t="shared" si="0"/>
        <v/>
      </c>
      <c r="E7" s="3" t="str">
        <f>IF(B7="","",'Registro Proyectos'!S8)</f>
        <v/>
      </c>
      <c r="F7" s="12" t="str">
        <f t="shared" si="1"/>
        <v/>
      </c>
      <c r="G7" s="3" t="str">
        <f>IF(B7="","",IF('Registro Proyectos'!I8="SI",ROUND(70*0.2+((5+IF('Registro Proyectos'!K8="",5,'Registro Proyectos'!K8))/20)*100*0.8,1),50))</f>
        <v/>
      </c>
      <c r="H7" s="12" t="str">
        <f t="shared" si="2"/>
        <v/>
      </c>
      <c r="I7" s="3" t="str">
        <f>IF(B7="","",'Registro Proyectos'!AB8)</f>
        <v/>
      </c>
      <c r="J7" s="12" t="str">
        <f t="shared" si="3"/>
        <v/>
      </c>
      <c r="K7" s="13" t="str">
        <f>IF(B7="","",'Registro Proyectos'!AC8)</f>
        <v/>
      </c>
      <c r="L7" s="9" t="str">
        <f t="shared" si="4"/>
        <v/>
      </c>
    </row>
    <row r="8" spans="1:12" ht="15" customHeight="1" x14ac:dyDescent="0.2">
      <c r="A8" s="3" t="str">
        <f>IF('Registro Proyectos'!B9="","",ROW()-2)</f>
        <v/>
      </c>
      <c r="B8" s="11" t="str">
        <f>IF('Registro Proyectos'!B9="","",'Registro Proyectos'!B9)</f>
        <v/>
      </c>
      <c r="C8" s="3" t="str">
        <f>IF(B8="","",'Registro Proyectos'!M9)</f>
        <v/>
      </c>
      <c r="D8" s="12" t="str">
        <f t="shared" si="0"/>
        <v/>
      </c>
      <c r="E8" s="3" t="str">
        <f>IF(B8="","",'Registro Proyectos'!S9)</f>
        <v/>
      </c>
      <c r="F8" s="12" t="str">
        <f t="shared" si="1"/>
        <v/>
      </c>
      <c r="G8" s="3" t="str">
        <f>IF(B8="","",IF('Registro Proyectos'!I9="SI",ROUND(70*0.2+((5+IF('Registro Proyectos'!K9="",5,'Registro Proyectos'!K9))/20)*100*0.8,1),50))</f>
        <v/>
      </c>
      <c r="H8" s="12" t="str">
        <f t="shared" si="2"/>
        <v/>
      </c>
      <c r="I8" s="3" t="str">
        <f>IF(B8="","",'Registro Proyectos'!AB9)</f>
        <v/>
      </c>
      <c r="J8" s="12" t="str">
        <f t="shared" si="3"/>
        <v/>
      </c>
      <c r="K8" s="13" t="str">
        <f>IF(B8="","",'Registro Proyectos'!AC9)</f>
        <v/>
      </c>
      <c r="L8" s="9" t="str">
        <f t="shared" si="4"/>
        <v/>
      </c>
    </row>
    <row r="9" spans="1:12" ht="15" customHeight="1" x14ac:dyDescent="0.2">
      <c r="A9" s="3" t="str">
        <f>IF('Registro Proyectos'!B10="","",ROW()-2)</f>
        <v/>
      </c>
      <c r="B9" s="11" t="str">
        <f>IF('Registro Proyectos'!B10="","",'Registro Proyectos'!B10)</f>
        <v/>
      </c>
      <c r="C9" s="3" t="str">
        <f>IF(B9="","",'Registro Proyectos'!M10)</f>
        <v/>
      </c>
      <c r="D9" s="12" t="str">
        <f t="shared" si="0"/>
        <v/>
      </c>
      <c r="E9" s="3" t="str">
        <f>IF(B9="","",'Registro Proyectos'!S10)</f>
        <v/>
      </c>
      <c r="F9" s="12" t="str">
        <f t="shared" si="1"/>
        <v/>
      </c>
      <c r="G9" s="3" t="str">
        <f>IF(B9="","",IF('Registro Proyectos'!I10="SI",ROUND(70*0.2+((5+IF('Registro Proyectos'!K10="",5,'Registro Proyectos'!K10))/20)*100*0.8,1),50))</f>
        <v/>
      </c>
      <c r="H9" s="12" t="str">
        <f t="shared" si="2"/>
        <v/>
      </c>
      <c r="I9" s="3" t="str">
        <f>IF(B9="","",'Registro Proyectos'!AB10)</f>
        <v/>
      </c>
      <c r="J9" s="12" t="str">
        <f t="shared" si="3"/>
        <v/>
      </c>
      <c r="K9" s="13" t="str">
        <f>IF(B9="","",'Registro Proyectos'!AC10)</f>
        <v/>
      </c>
      <c r="L9" s="9" t="str">
        <f t="shared" si="4"/>
        <v/>
      </c>
    </row>
    <row r="10" spans="1:12" ht="15" customHeight="1" x14ac:dyDescent="0.2">
      <c r="A10" s="3" t="str">
        <f>IF('Registro Proyectos'!B11="","",ROW()-2)</f>
        <v/>
      </c>
      <c r="B10" s="11" t="str">
        <f>IF('Registro Proyectos'!B11="","",'Registro Proyectos'!B11)</f>
        <v/>
      </c>
      <c r="C10" s="3" t="str">
        <f>IF(B10="","",'Registro Proyectos'!M11)</f>
        <v/>
      </c>
      <c r="D10" s="12" t="str">
        <f t="shared" si="0"/>
        <v/>
      </c>
      <c r="E10" s="3" t="str">
        <f>IF(B10="","",'Registro Proyectos'!S11)</f>
        <v/>
      </c>
      <c r="F10" s="12" t="str">
        <f t="shared" si="1"/>
        <v/>
      </c>
      <c r="G10" s="3" t="str">
        <f>IF(B10="","",IF('Registro Proyectos'!I11="SI",ROUND(70*0.2+((5+IF('Registro Proyectos'!K11="",5,'Registro Proyectos'!K11))/20)*100*0.8,1),50))</f>
        <v/>
      </c>
      <c r="H10" s="12" t="str">
        <f t="shared" si="2"/>
        <v/>
      </c>
      <c r="I10" s="3" t="str">
        <f>IF(B10="","",'Registro Proyectos'!AB11)</f>
        <v/>
      </c>
      <c r="J10" s="12" t="str">
        <f t="shared" si="3"/>
        <v/>
      </c>
      <c r="K10" s="13" t="str">
        <f>IF(B10="","",'Registro Proyectos'!AC11)</f>
        <v/>
      </c>
      <c r="L10" s="9" t="str">
        <f t="shared" si="4"/>
        <v/>
      </c>
    </row>
    <row r="11" spans="1:12" ht="15" customHeight="1" x14ac:dyDescent="0.2">
      <c r="A11" s="3" t="str">
        <f>IF('Registro Proyectos'!B12="","",ROW()-2)</f>
        <v/>
      </c>
      <c r="B11" s="11" t="str">
        <f>IF('Registro Proyectos'!B12="","",'Registro Proyectos'!B12)</f>
        <v/>
      </c>
      <c r="C11" s="3" t="str">
        <f>IF(B11="","",'Registro Proyectos'!M12)</f>
        <v/>
      </c>
      <c r="D11" s="12" t="str">
        <f t="shared" si="0"/>
        <v/>
      </c>
      <c r="E11" s="3" t="str">
        <f>IF(B11="","",'Registro Proyectos'!S12)</f>
        <v/>
      </c>
      <c r="F11" s="12" t="str">
        <f t="shared" si="1"/>
        <v/>
      </c>
      <c r="G11" s="3" t="str">
        <f>IF(B11="","",IF('Registro Proyectos'!I12="SI",ROUND(70*0.2+((5+IF('Registro Proyectos'!K12="",5,'Registro Proyectos'!K12))/20)*100*0.8,1),50))</f>
        <v/>
      </c>
      <c r="H11" s="12" t="str">
        <f t="shared" si="2"/>
        <v/>
      </c>
      <c r="I11" s="3" t="str">
        <f>IF(B11="","",'Registro Proyectos'!AB12)</f>
        <v/>
      </c>
      <c r="J11" s="12" t="str">
        <f t="shared" si="3"/>
        <v/>
      </c>
      <c r="K11" s="13" t="str">
        <f>IF(B11="","",'Registro Proyectos'!AC12)</f>
        <v/>
      </c>
      <c r="L11" s="9" t="str">
        <f t="shared" si="4"/>
        <v/>
      </c>
    </row>
    <row r="12" spans="1:12" ht="15" customHeight="1" x14ac:dyDescent="0.2">
      <c r="A12" s="3" t="str">
        <f>IF('Registro Proyectos'!B13="","",ROW()-2)</f>
        <v/>
      </c>
      <c r="B12" s="11" t="str">
        <f>IF('Registro Proyectos'!B13="","",'Registro Proyectos'!B13)</f>
        <v/>
      </c>
      <c r="C12" s="3" t="str">
        <f>IF(B12="","",'Registro Proyectos'!M13)</f>
        <v/>
      </c>
      <c r="D12" s="12" t="str">
        <f t="shared" si="0"/>
        <v/>
      </c>
      <c r="E12" s="3" t="str">
        <f>IF(B12="","",'Registro Proyectos'!S13)</f>
        <v/>
      </c>
      <c r="F12" s="12" t="str">
        <f t="shared" si="1"/>
        <v/>
      </c>
      <c r="G12" s="3" t="str">
        <f>IF(B12="","",IF('Registro Proyectos'!I13="SI",ROUND(70*0.2+((5+IF('Registro Proyectos'!K13="",5,'Registro Proyectos'!K13))/20)*100*0.8,1),50))</f>
        <v/>
      </c>
      <c r="H12" s="12" t="str">
        <f t="shared" si="2"/>
        <v/>
      </c>
      <c r="I12" s="3" t="str">
        <f>IF(B12="","",'Registro Proyectos'!AB13)</f>
        <v/>
      </c>
      <c r="J12" s="12" t="str">
        <f t="shared" si="3"/>
        <v/>
      </c>
      <c r="K12" s="13" t="str">
        <f>IF(B12="","",'Registro Proyectos'!AC13)</f>
        <v/>
      </c>
      <c r="L12" s="9" t="str">
        <f t="shared" si="4"/>
        <v/>
      </c>
    </row>
    <row r="13" spans="1:12" ht="15" customHeight="1" x14ac:dyDescent="0.2">
      <c r="A13" s="3" t="str">
        <f>IF('Registro Proyectos'!B14="","",ROW()-2)</f>
        <v/>
      </c>
      <c r="B13" s="11" t="str">
        <f>IF('Registro Proyectos'!B14="","",'Registro Proyectos'!B14)</f>
        <v/>
      </c>
      <c r="C13" s="3" t="str">
        <f>IF(B13="","",'Registro Proyectos'!M14)</f>
        <v/>
      </c>
      <c r="D13" s="12" t="str">
        <f t="shared" si="0"/>
        <v/>
      </c>
      <c r="E13" s="3" t="str">
        <f>IF(B13="","",'Registro Proyectos'!S14)</f>
        <v/>
      </c>
      <c r="F13" s="12" t="str">
        <f t="shared" si="1"/>
        <v/>
      </c>
      <c r="G13" s="3" t="str">
        <f>IF(B13="","",IF('Registro Proyectos'!I14="SI",ROUND(70*0.2+((5+IF('Registro Proyectos'!K14="",5,'Registro Proyectos'!K14))/20)*100*0.8,1),50))</f>
        <v/>
      </c>
      <c r="H13" s="12" t="str">
        <f t="shared" si="2"/>
        <v/>
      </c>
      <c r="I13" s="3" t="str">
        <f>IF(B13="","",'Registro Proyectos'!AB14)</f>
        <v/>
      </c>
      <c r="J13" s="12" t="str">
        <f t="shared" si="3"/>
        <v/>
      </c>
      <c r="K13" s="13" t="str">
        <f>IF(B13="","",'Registro Proyectos'!AC14)</f>
        <v/>
      </c>
      <c r="L13" s="9" t="str">
        <f t="shared" si="4"/>
        <v/>
      </c>
    </row>
    <row r="14" spans="1:12" ht="15" customHeight="1" x14ac:dyDescent="0.2">
      <c r="A14" s="3" t="str">
        <f>IF('Registro Proyectos'!B15="","",ROW()-2)</f>
        <v/>
      </c>
      <c r="B14" s="11" t="str">
        <f>IF('Registro Proyectos'!B15="","",'Registro Proyectos'!B15)</f>
        <v/>
      </c>
      <c r="C14" s="3" t="str">
        <f>IF(B14="","",'Registro Proyectos'!M15)</f>
        <v/>
      </c>
      <c r="D14" s="12" t="str">
        <f t="shared" si="0"/>
        <v/>
      </c>
      <c r="E14" s="3" t="str">
        <f>IF(B14="","",'Registro Proyectos'!S15)</f>
        <v/>
      </c>
      <c r="F14" s="12" t="str">
        <f t="shared" si="1"/>
        <v/>
      </c>
      <c r="G14" s="3" t="str">
        <f>IF(B14="","",IF('Registro Proyectos'!I15="SI",ROUND(70*0.2+((5+IF('Registro Proyectos'!K15="",5,'Registro Proyectos'!K15))/20)*100*0.8,1),50))</f>
        <v/>
      </c>
      <c r="H14" s="12" t="str">
        <f t="shared" si="2"/>
        <v/>
      </c>
      <c r="I14" s="3" t="str">
        <f>IF(B14="","",'Registro Proyectos'!AB15)</f>
        <v/>
      </c>
      <c r="J14" s="12" t="str">
        <f t="shared" si="3"/>
        <v/>
      </c>
      <c r="K14" s="13" t="str">
        <f>IF(B14="","",'Registro Proyectos'!AC15)</f>
        <v/>
      </c>
      <c r="L14" s="9" t="str">
        <f t="shared" si="4"/>
        <v/>
      </c>
    </row>
    <row r="15" spans="1:12" ht="15" customHeight="1" x14ac:dyDescent="0.2">
      <c r="A15" s="3" t="str">
        <f>IF('Registro Proyectos'!B16="","",ROW()-2)</f>
        <v/>
      </c>
      <c r="B15" s="11" t="str">
        <f>IF('Registro Proyectos'!B16="","",'Registro Proyectos'!B16)</f>
        <v/>
      </c>
      <c r="C15" s="3" t="str">
        <f>IF(B15="","",'Registro Proyectos'!M16)</f>
        <v/>
      </c>
      <c r="D15" s="12" t="str">
        <f t="shared" si="0"/>
        <v/>
      </c>
      <c r="E15" s="3" t="str">
        <f>IF(B15="","",'Registro Proyectos'!S16)</f>
        <v/>
      </c>
      <c r="F15" s="12" t="str">
        <f t="shared" si="1"/>
        <v/>
      </c>
      <c r="G15" s="3" t="str">
        <f>IF(B15="","",IF('Registro Proyectos'!I16="SI",ROUND(70*0.2+((5+IF('Registro Proyectos'!K16="",5,'Registro Proyectos'!K16))/20)*100*0.8,1),50))</f>
        <v/>
      </c>
      <c r="H15" s="12" t="str">
        <f t="shared" si="2"/>
        <v/>
      </c>
      <c r="I15" s="3" t="str">
        <f>IF(B15="","",'Registro Proyectos'!AB16)</f>
        <v/>
      </c>
      <c r="J15" s="12" t="str">
        <f t="shared" si="3"/>
        <v/>
      </c>
      <c r="K15" s="13" t="str">
        <f>IF(B15="","",'Registro Proyectos'!AC16)</f>
        <v/>
      </c>
      <c r="L15" s="9" t="str">
        <f t="shared" si="4"/>
        <v/>
      </c>
    </row>
    <row r="16" spans="1:12" ht="15" customHeight="1" x14ac:dyDescent="0.2">
      <c r="A16" s="3" t="str">
        <f>IF('Registro Proyectos'!B17="","",ROW()-2)</f>
        <v/>
      </c>
      <c r="B16" s="11" t="str">
        <f>IF('Registro Proyectos'!B17="","",'Registro Proyectos'!B17)</f>
        <v/>
      </c>
      <c r="C16" s="3" t="str">
        <f>IF(B16="","",'Registro Proyectos'!M17)</f>
        <v/>
      </c>
      <c r="D16" s="12" t="str">
        <f t="shared" si="0"/>
        <v/>
      </c>
      <c r="E16" s="3" t="str">
        <f>IF(B16="","",'Registro Proyectos'!S17)</f>
        <v/>
      </c>
      <c r="F16" s="12" t="str">
        <f t="shared" si="1"/>
        <v/>
      </c>
      <c r="G16" s="3" t="str">
        <f>IF(B16="","",IF('Registro Proyectos'!I17="SI",ROUND(70*0.2+((5+IF('Registro Proyectos'!K17="",5,'Registro Proyectos'!K17))/20)*100*0.8,1),50))</f>
        <v/>
      </c>
      <c r="H16" s="12" t="str">
        <f t="shared" si="2"/>
        <v/>
      </c>
      <c r="I16" s="3" t="str">
        <f>IF(B16="","",'Registro Proyectos'!AB17)</f>
        <v/>
      </c>
      <c r="J16" s="12" t="str">
        <f t="shared" si="3"/>
        <v/>
      </c>
      <c r="K16" s="13" t="str">
        <f>IF(B16="","",'Registro Proyectos'!AC17)</f>
        <v/>
      </c>
      <c r="L16" s="9" t="str">
        <f t="shared" si="4"/>
        <v/>
      </c>
    </row>
    <row r="17" spans="1:12" ht="15" customHeight="1" x14ac:dyDescent="0.2">
      <c r="A17" s="3" t="str">
        <f>IF('Registro Proyectos'!B18="","",ROW()-2)</f>
        <v/>
      </c>
      <c r="B17" s="11" t="str">
        <f>IF('Registro Proyectos'!B18="","",'Registro Proyectos'!B18)</f>
        <v/>
      </c>
      <c r="C17" s="3" t="str">
        <f>IF(B17="","",'Registro Proyectos'!M18)</f>
        <v/>
      </c>
      <c r="D17" s="12" t="str">
        <f t="shared" si="0"/>
        <v/>
      </c>
      <c r="E17" s="3" t="str">
        <f>IF(B17="","",'Registro Proyectos'!S18)</f>
        <v/>
      </c>
      <c r="F17" s="12" t="str">
        <f t="shared" si="1"/>
        <v/>
      </c>
      <c r="G17" s="3" t="str">
        <f>IF(B17="","",IF('Registro Proyectos'!I18="SI",ROUND(70*0.2+((5+IF('Registro Proyectos'!K18="",5,'Registro Proyectos'!K18))/20)*100*0.8,1),50))</f>
        <v/>
      </c>
      <c r="H17" s="12" t="str">
        <f t="shared" si="2"/>
        <v/>
      </c>
      <c r="I17" s="3" t="str">
        <f>IF(B17="","",'Registro Proyectos'!AB18)</f>
        <v/>
      </c>
      <c r="J17" s="12" t="str">
        <f t="shared" si="3"/>
        <v/>
      </c>
      <c r="K17" s="13" t="str">
        <f>IF(B17="","",'Registro Proyectos'!AC18)</f>
        <v/>
      </c>
      <c r="L17" s="9" t="str">
        <f t="shared" si="4"/>
        <v/>
      </c>
    </row>
    <row r="18" spans="1:12" ht="15" customHeight="1" x14ac:dyDescent="0.2">
      <c r="A18" s="3" t="str">
        <f>IF('Registro Proyectos'!B19="","",ROW()-2)</f>
        <v/>
      </c>
      <c r="B18" s="11" t="str">
        <f>IF('Registro Proyectos'!B19="","",'Registro Proyectos'!B19)</f>
        <v/>
      </c>
      <c r="C18" s="3" t="str">
        <f>IF(B18="","",'Registro Proyectos'!M19)</f>
        <v/>
      </c>
      <c r="D18" s="12" t="str">
        <f t="shared" si="0"/>
        <v/>
      </c>
      <c r="E18" s="3" t="str">
        <f>IF(B18="","",'Registro Proyectos'!S19)</f>
        <v/>
      </c>
      <c r="F18" s="12" t="str">
        <f t="shared" si="1"/>
        <v/>
      </c>
      <c r="G18" s="3" t="str">
        <f>IF(B18="","",IF('Registro Proyectos'!I19="SI",ROUND(70*0.2+((5+IF('Registro Proyectos'!K19="",5,'Registro Proyectos'!K19))/20)*100*0.8,1),50))</f>
        <v/>
      </c>
      <c r="H18" s="12" t="str">
        <f t="shared" si="2"/>
        <v/>
      </c>
      <c r="I18" s="3" t="str">
        <f>IF(B18="","",'Registro Proyectos'!AB19)</f>
        <v/>
      </c>
      <c r="J18" s="12" t="str">
        <f t="shared" si="3"/>
        <v/>
      </c>
      <c r="K18" s="13" t="str">
        <f>IF(B18="","",'Registro Proyectos'!AC19)</f>
        <v/>
      </c>
      <c r="L18" s="9" t="str">
        <f t="shared" si="4"/>
        <v/>
      </c>
    </row>
    <row r="19" spans="1:12" ht="15" customHeight="1" x14ac:dyDescent="0.2">
      <c r="A19" s="3" t="str">
        <f>IF('Registro Proyectos'!B20="","",ROW()-2)</f>
        <v/>
      </c>
      <c r="B19" s="11" t="str">
        <f>IF('Registro Proyectos'!B20="","",'Registro Proyectos'!B20)</f>
        <v/>
      </c>
      <c r="C19" s="3" t="str">
        <f>IF(B19="","",'Registro Proyectos'!M20)</f>
        <v/>
      </c>
      <c r="D19" s="12" t="str">
        <f t="shared" si="0"/>
        <v/>
      </c>
      <c r="E19" s="3" t="str">
        <f>IF(B19="","",'Registro Proyectos'!S20)</f>
        <v/>
      </c>
      <c r="F19" s="12" t="str">
        <f t="shared" si="1"/>
        <v/>
      </c>
      <c r="G19" s="3" t="str">
        <f>IF(B19="","",IF('Registro Proyectos'!I20="SI",ROUND(70*0.2+((5+IF('Registro Proyectos'!K20="",5,'Registro Proyectos'!K20))/20)*100*0.8,1),50))</f>
        <v/>
      </c>
      <c r="H19" s="12" t="str">
        <f t="shared" si="2"/>
        <v/>
      </c>
      <c r="I19" s="3" t="str">
        <f>IF(B19="","",'Registro Proyectos'!AB20)</f>
        <v/>
      </c>
      <c r="J19" s="12" t="str">
        <f t="shared" si="3"/>
        <v/>
      </c>
      <c r="K19" s="13" t="str">
        <f>IF(B19="","",'Registro Proyectos'!AC20)</f>
        <v/>
      </c>
      <c r="L19" s="9" t="str">
        <f t="shared" si="4"/>
        <v/>
      </c>
    </row>
    <row r="20" spans="1:12" ht="15" customHeight="1" x14ac:dyDescent="0.2">
      <c r="A20" s="3" t="str">
        <f>IF('Registro Proyectos'!B21="","",ROW()-2)</f>
        <v/>
      </c>
      <c r="B20" s="11" t="str">
        <f>IF('Registro Proyectos'!B21="","",'Registro Proyectos'!B21)</f>
        <v/>
      </c>
      <c r="C20" s="3" t="str">
        <f>IF(B20="","",'Registro Proyectos'!M21)</f>
        <v/>
      </c>
      <c r="D20" s="12" t="str">
        <f t="shared" si="0"/>
        <v/>
      </c>
      <c r="E20" s="3" t="str">
        <f>IF(B20="","",'Registro Proyectos'!S21)</f>
        <v/>
      </c>
      <c r="F20" s="12" t="str">
        <f t="shared" si="1"/>
        <v/>
      </c>
      <c r="G20" s="3" t="str">
        <f>IF(B20="","",IF('Registro Proyectos'!I21="SI",ROUND(70*0.2+((5+IF('Registro Proyectos'!K21="",5,'Registro Proyectos'!K21))/20)*100*0.8,1),50))</f>
        <v/>
      </c>
      <c r="H20" s="12" t="str">
        <f t="shared" si="2"/>
        <v/>
      </c>
      <c r="I20" s="3" t="str">
        <f>IF(B20="","",'Registro Proyectos'!AB21)</f>
        <v/>
      </c>
      <c r="J20" s="12" t="str">
        <f t="shared" si="3"/>
        <v/>
      </c>
      <c r="K20" s="13" t="str">
        <f>IF(B20="","",'Registro Proyectos'!AC21)</f>
        <v/>
      </c>
      <c r="L20" s="9" t="str">
        <f t="shared" si="4"/>
        <v/>
      </c>
    </row>
    <row r="21" spans="1:12" ht="15" customHeight="1" x14ac:dyDescent="0.2">
      <c r="A21" s="3" t="str">
        <f>IF('Registro Proyectos'!B22="","",ROW()-2)</f>
        <v/>
      </c>
      <c r="B21" s="11" t="str">
        <f>IF('Registro Proyectos'!B22="","",'Registro Proyectos'!B22)</f>
        <v/>
      </c>
      <c r="C21" s="3" t="str">
        <f>IF(B21="","",'Registro Proyectos'!M22)</f>
        <v/>
      </c>
      <c r="D21" s="12" t="str">
        <f t="shared" si="0"/>
        <v/>
      </c>
      <c r="E21" s="3" t="str">
        <f>IF(B21="","",'Registro Proyectos'!S22)</f>
        <v/>
      </c>
      <c r="F21" s="12" t="str">
        <f t="shared" si="1"/>
        <v/>
      </c>
      <c r="G21" s="3" t="str">
        <f>IF(B21="","",IF('Registro Proyectos'!I22="SI",ROUND(70*0.2+((5+IF('Registro Proyectos'!K22="",5,'Registro Proyectos'!K22))/20)*100*0.8,1),50))</f>
        <v/>
      </c>
      <c r="H21" s="12" t="str">
        <f t="shared" si="2"/>
        <v/>
      </c>
      <c r="I21" s="3" t="str">
        <f>IF(B21="","",'Registro Proyectos'!AB22)</f>
        <v/>
      </c>
      <c r="J21" s="12" t="str">
        <f t="shared" si="3"/>
        <v/>
      </c>
      <c r="K21" s="13" t="str">
        <f>IF(B21="","",'Registro Proyectos'!AC22)</f>
        <v/>
      </c>
      <c r="L21" s="9" t="str">
        <f t="shared" si="4"/>
        <v/>
      </c>
    </row>
    <row r="22" spans="1:12" ht="15" customHeight="1" x14ac:dyDescent="0.2">
      <c r="A22" s="3" t="str">
        <f>IF('Registro Proyectos'!B23="","",ROW()-2)</f>
        <v/>
      </c>
      <c r="B22" s="11" t="str">
        <f>IF('Registro Proyectos'!B23="","",'Registro Proyectos'!B23)</f>
        <v/>
      </c>
      <c r="C22" s="3" t="str">
        <f>IF(B22="","",'Registro Proyectos'!M23)</f>
        <v/>
      </c>
      <c r="D22" s="12" t="str">
        <f t="shared" si="0"/>
        <v/>
      </c>
      <c r="E22" s="3" t="str">
        <f>IF(B22="","",'Registro Proyectos'!S23)</f>
        <v/>
      </c>
      <c r="F22" s="12" t="str">
        <f t="shared" si="1"/>
        <v/>
      </c>
      <c r="G22" s="3" t="str">
        <f>IF(B22="","",IF('Registro Proyectos'!I23="SI",ROUND(70*0.2+((5+IF('Registro Proyectos'!K23="",5,'Registro Proyectos'!K23))/20)*100*0.8,1),50))</f>
        <v/>
      </c>
      <c r="H22" s="12" t="str">
        <f t="shared" si="2"/>
        <v/>
      </c>
      <c r="I22" s="3" t="str">
        <f>IF(B22="","",'Registro Proyectos'!AB23)</f>
        <v/>
      </c>
      <c r="J22" s="12" t="str">
        <f t="shared" si="3"/>
        <v/>
      </c>
      <c r="K22" s="13" t="str">
        <f>IF(B22="","",'Registro Proyectos'!AC23)</f>
        <v/>
      </c>
      <c r="L22" s="9" t="str">
        <f t="shared" si="4"/>
        <v/>
      </c>
    </row>
    <row r="23" spans="1:12" ht="15" customHeight="1" x14ac:dyDescent="0.2">
      <c r="A23" s="3" t="str">
        <f>IF('Registro Proyectos'!B24="","",ROW()-2)</f>
        <v/>
      </c>
      <c r="B23" s="11" t="str">
        <f>IF('Registro Proyectos'!B24="","",'Registro Proyectos'!B24)</f>
        <v/>
      </c>
      <c r="C23" s="3" t="str">
        <f>IF(B23="","",'Registro Proyectos'!M24)</f>
        <v/>
      </c>
      <c r="D23" s="12" t="str">
        <f t="shared" si="0"/>
        <v/>
      </c>
      <c r="E23" s="3" t="str">
        <f>IF(B23="","",'Registro Proyectos'!S24)</f>
        <v/>
      </c>
      <c r="F23" s="12" t="str">
        <f t="shared" si="1"/>
        <v/>
      </c>
      <c r="G23" s="3" t="str">
        <f>IF(B23="","",IF('Registro Proyectos'!I24="SI",ROUND(70*0.2+((5+IF('Registro Proyectos'!K24="",5,'Registro Proyectos'!K24))/20)*100*0.8,1),50))</f>
        <v/>
      </c>
      <c r="H23" s="12" t="str">
        <f t="shared" si="2"/>
        <v/>
      </c>
      <c r="I23" s="3" t="str">
        <f>IF(B23="","",'Registro Proyectos'!AB24)</f>
        <v/>
      </c>
      <c r="J23" s="12" t="str">
        <f t="shared" si="3"/>
        <v/>
      </c>
      <c r="K23" s="13" t="str">
        <f>IF(B23="","",'Registro Proyectos'!AC24)</f>
        <v/>
      </c>
      <c r="L23" s="9" t="str">
        <f t="shared" si="4"/>
        <v/>
      </c>
    </row>
    <row r="24" spans="1:12" ht="15" customHeight="1" x14ac:dyDescent="0.2">
      <c r="A24" s="3" t="str">
        <f>IF('Registro Proyectos'!B25="","",ROW()-2)</f>
        <v/>
      </c>
      <c r="B24" s="11" t="str">
        <f>IF('Registro Proyectos'!B25="","",'Registro Proyectos'!B25)</f>
        <v/>
      </c>
      <c r="C24" s="3" t="str">
        <f>IF(B24="","",'Registro Proyectos'!M25)</f>
        <v/>
      </c>
      <c r="D24" s="12" t="str">
        <f t="shared" si="0"/>
        <v/>
      </c>
      <c r="E24" s="3" t="str">
        <f>IF(B24="","",'Registro Proyectos'!S25)</f>
        <v/>
      </c>
      <c r="F24" s="12" t="str">
        <f t="shared" si="1"/>
        <v/>
      </c>
      <c r="G24" s="3" t="str">
        <f>IF(B24="","",IF('Registro Proyectos'!I25="SI",ROUND(70*0.2+((5+IF('Registro Proyectos'!K25="",5,'Registro Proyectos'!K25))/20)*100*0.8,1),50))</f>
        <v/>
      </c>
      <c r="H24" s="12" t="str">
        <f t="shared" si="2"/>
        <v/>
      </c>
      <c r="I24" s="3" t="str">
        <f>IF(B24="","",'Registro Proyectos'!AB25)</f>
        <v/>
      </c>
      <c r="J24" s="12" t="str">
        <f t="shared" si="3"/>
        <v/>
      </c>
      <c r="K24" s="13" t="str">
        <f>IF(B24="","",'Registro Proyectos'!AC25)</f>
        <v/>
      </c>
      <c r="L24" s="9" t="str">
        <f t="shared" si="4"/>
        <v/>
      </c>
    </row>
    <row r="25" spans="1:12" ht="15" customHeight="1" x14ac:dyDescent="0.2">
      <c r="A25" s="3" t="str">
        <f>IF('Registro Proyectos'!B26="","",ROW()-2)</f>
        <v/>
      </c>
      <c r="B25" s="11" t="str">
        <f>IF('Registro Proyectos'!B26="","",'Registro Proyectos'!B26)</f>
        <v/>
      </c>
      <c r="C25" s="3" t="str">
        <f>IF(B25="","",'Registro Proyectos'!M26)</f>
        <v/>
      </c>
      <c r="D25" s="12" t="str">
        <f t="shared" si="0"/>
        <v/>
      </c>
      <c r="E25" s="3" t="str">
        <f>IF(B25="","",'Registro Proyectos'!S26)</f>
        <v/>
      </c>
      <c r="F25" s="12" t="str">
        <f t="shared" si="1"/>
        <v/>
      </c>
      <c r="G25" s="3" t="str">
        <f>IF(B25="","",IF('Registro Proyectos'!I26="SI",ROUND(70*0.2+((5+IF('Registro Proyectos'!K26="",5,'Registro Proyectos'!K26))/20)*100*0.8,1),50))</f>
        <v/>
      </c>
      <c r="H25" s="12" t="str">
        <f t="shared" si="2"/>
        <v/>
      </c>
      <c r="I25" s="3" t="str">
        <f>IF(B25="","",'Registro Proyectos'!AB26)</f>
        <v/>
      </c>
      <c r="J25" s="12" t="str">
        <f t="shared" si="3"/>
        <v/>
      </c>
      <c r="K25" s="13" t="str">
        <f>IF(B25="","",'Registro Proyectos'!AC26)</f>
        <v/>
      </c>
      <c r="L25" s="9" t="str">
        <f t="shared" si="4"/>
        <v/>
      </c>
    </row>
    <row r="26" spans="1:12" ht="15" customHeight="1" x14ac:dyDescent="0.2">
      <c r="A26" s="3" t="str">
        <f>IF('Registro Proyectos'!B27="","",ROW()-2)</f>
        <v/>
      </c>
      <c r="B26" s="11" t="str">
        <f>IF('Registro Proyectos'!B27="","",'Registro Proyectos'!B27)</f>
        <v/>
      </c>
      <c r="C26" s="3" t="str">
        <f>IF(B26="","",'Registro Proyectos'!M27)</f>
        <v/>
      </c>
      <c r="D26" s="12" t="str">
        <f t="shared" si="0"/>
        <v/>
      </c>
      <c r="E26" s="3" t="str">
        <f>IF(B26="","",'Registro Proyectos'!S27)</f>
        <v/>
      </c>
      <c r="F26" s="12" t="str">
        <f t="shared" si="1"/>
        <v/>
      </c>
      <c r="G26" s="3" t="str">
        <f>IF(B26="","",IF('Registro Proyectos'!I27="SI",ROUND(70*0.2+((5+IF('Registro Proyectos'!K27="",5,'Registro Proyectos'!K27))/20)*100*0.8,1),50))</f>
        <v/>
      </c>
      <c r="H26" s="12" t="str">
        <f t="shared" si="2"/>
        <v/>
      </c>
      <c r="I26" s="3" t="str">
        <f>IF(B26="","",'Registro Proyectos'!AB27)</f>
        <v/>
      </c>
      <c r="J26" s="12" t="str">
        <f t="shared" si="3"/>
        <v/>
      </c>
      <c r="K26" s="13" t="str">
        <f>IF(B26="","",'Registro Proyectos'!AC27)</f>
        <v/>
      </c>
      <c r="L26" s="9" t="str">
        <f t="shared" si="4"/>
        <v/>
      </c>
    </row>
    <row r="27" spans="1:12" ht="15" customHeight="1" x14ac:dyDescent="0.2">
      <c r="A27" s="3" t="str">
        <f>IF('Registro Proyectos'!B28="","",ROW()-2)</f>
        <v/>
      </c>
      <c r="B27" s="11" t="str">
        <f>IF('Registro Proyectos'!B28="","",'Registro Proyectos'!B28)</f>
        <v/>
      </c>
      <c r="C27" s="3" t="str">
        <f>IF(B27="","",'Registro Proyectos'!M28)</f>
        <v/>
      </c>
      <c r="D27" s="12" t="str">
        <f t="shared" si="0"/>
        <v/>
      </c>
      <c r="E27" s="3" t="str">
        <f>IF(B27="","",'Registro Proyectos'!S28)</f>
        <v/>
      </c>
      <c r="F27" s="12" t="str">
        <f t="shared" si="1"/>
        <v/>
      </c>
      <c r="G27" s="3" t="str">
        <f>IF(B27="","",IF('Registro Proyectos'!I28="SI",ROUND(70*0.2+((5+IF('Registro Proyectos'!K28="",5,'Registro Proyectos'!K28))/20)*100*0.8,1),50))</f>
        <v/>
      </c>
      <c r="H27" s="12" t="str">
        <f t="shared" si="2"/>
        <v/>
      </c>
      <c r="I27" s="3" t="str">
        <f>IF(B27="","",'Registro Proyectos'!AB28)</f>
        <v/>
      </c>
      <c r="J27" s="12" t="str">
        <f t="shared" si="3"/>
        <v/>
      </c>
      <c r="K27" s="13" t="str">
        <f>IF(B27="","",'Registro Proyectos'!AC28)</f>
        <v/>
      </c>
      <c r="L27" s="9" t="str">
        <f t="shared" si="4"/>
        <v/>
      </c>
    </row>
    <row r="28" spans="1:12" ht="15" customHeight="1" x14ac:dyDescent="0.2">
      <c r="A28" s="3" t="str">
        <f>IF('Registro Proyectos'!B29="","",ROW()-2)</f>
        <v/>
      </c>
      <c r="B28" s="11" t="str">
        <f>IF('Registro Proyectos'!B29="","",'Registro Proyectos'!B29)</f>
        <v/>
      </c>
      <c r="C28" s="3" t="str">
        <f>IF(B28="","",'Registro Proyectos'!M29)</f>
        <v/>
      </c>
      <c r="D28" s="12" t="str">
        <f t="shared" si="0"/>
        <v/>
      </c>
      <c r="E28" s="3" t="str">
        <f>IF(B28="","",'Registro Proyectos'!S29)</f>
        <v/>
      </c>
      <c r="F28" s="12" t="str">
        <f t="shared" si="1"/>
        <v/>
      </c>
      <c r="G28" s="3" t="str">
        <f>IF(B28="","",IF('Registro Proyectos'!I29="SI",ROUND(70*0.2+((5+IF('Registro Proyectos'!K29="",5,'Registro Proyectos'!K29))/20)*100*0.8,1),50))</f>
        <v/>
      </c>
      <c r="H28" s="12" t="str">
        <f t="shared" si="2"/>
        <v/>
      </c>
      <c r="I28" s="3" t="str">
        <f>IF(B28="","",'Registro Proyectos'!AB29)</f>
        <v/>
      </c>
      <c r="J28" s="12" t="str">
        <f t="shared" si="3"/>
        <v/>
      </c>
      <c r="K28" s="13" t="str">
        <f>IF(B28="","",'Registro Proyectos'!AC29)</f>
        <v/>
      </c>
      <c r="L28" s="9" t="str">
        <f t="shared" si="4"/>
        <v/>
      </c>
    </row>
    <row r="29" spans="1:12" ht="15" customHeight="1" x14ac:dyDescent="0.2">
      <c r="A29" s="3" t="str">
        <f>IF('Registro Proyectos'!B30="","",ROW()-2)</f>
        <v/>
      </c>
      <c r="B29" s="11" t="str">
        <f>IF('Registro Proyectos'!B30="","",'Registro Proyectos'!B30)</f>
        <v/>
      </c>
      <c r="C29" s="3" t="str">
        <f>IF(B29="","",'Registro Proyectos'!M30)</f>
        <v/>
      </c>
      <c r="D29" s="12" t="str">
        <f t="shared" si="0"/>
        <v/>
      </c>
      <c r="E29" s="3" t="str">
        <f>IF(B29="","",'Registro Proyectos'!S30)</f>
        <v/>
      </c>
      <c r="F29" s="12" t="str">
        <f t="shared" si="1"/>
        <v/>
      </c>
      <c r="G29" s="3" t="str">
        <f>IF(B29="","",IF('Registro Proyectos'!I30="SI",ROUND(70*0.2+((5+IF('Registro Proyectos'!K30="",5,'Registro Proyectos'!K30))/20)*100*0.8,1),50))</f>
        <v/>
      </c>
      <c r="H29" s="12" t="str">
        <f t="shared" si="2"/>
        <v/>
      </c>
      <c r="I29" s="3" t="str">
        <f>IF(B29="","",'Registro Proyectos'!AB30)</f>
        <v/>
      </c>
      <c r="J29" s="12" t="str">
        <f t="shared" si="3"/>
        <v/>
      </c>
      <c r="K29" s="13" t="str">
        <f>IF(B29="","",'Registro Proyectos'!AC30)</f>
        <v/>
      </c>
      <c r="L29" s="9" t="str">
        <f t="shared" si="4"/>
        <v/>
      </c>
    </row>
    <row r="30" spans="1:12" ht="15" customHeight="1" x14ac:dyDescent="0.2">
      <c r="A30" s="3" t="str">
        <f>IF('Registro Proyectos'!B31="","",ROW()-2)</f>
        <v/>
      </c>
      <c r="B30" s="11" t="str">
        <f>IF('Registro Proyectos'!B31="","",'Registro Proyectos'!B31)</f>
        <v/>
      </c>
      <c r="C30" s="3" t="str">
        <f>IF(B30="","",'Registro Proyectos'!M31)</f>
        <v/>
      </c>
      <c r="D30" s="12" t="str">
        <f t="shared" si="0"/>
        <v/>
      </c>
      <c r="E30" s="3" t="str">
        <f>IF(B30="","",'Registro Proyectos'!S31)</f>
        <v/>
      </c>
      <c r="F30" s="12" t="str">
        <f t="shared" si="1"/>
        <v/>
      </c>
      <c r="G30" s="3" t="str">
        <f>IF(B30="","",IF('Registro Proyectos'!I31="SI",ROUND(70*0.2+((5+IF('Registro Proyectos'!K31="",5,'Registro Proyectos'!K31))/20)*100*0.8,1),50))</f>
        <v/>
      </c>
      <c r="H30" s="12" t="str">
        <f t="shared" si="2"/>
        <v/>
      </c>
      <c r="I30" s="3" t="str">
        <f>IF(B30="","",'Registro Proyectos'!AB31)</f>
        <v/>
      </c>
      <c r="J30" s="12" t="str">
        <f t="shared" si="3"/>
        <v/>
      </c>
      <c r="K30" s="13" t="str">
        <f>IF(B30="","",'Registro Proyectos'!AC31)</f>
        <v/>
      </c>
      <c r="L30" s="9" t="str">
        <f t="shared" si="4"/>
        <v/>
      </c>
    </row>
    <row r="31" spans="1:12" ht="15" customHeight="1" x14ac:dyDescent="0.2">
      <c r="A31" s="3" t="str">
        <f>IF('Registro Proyectos'!B32="","",ROW()-2)</f>
        <v/>
      </c>
      <c r="B31" s="11" t="str">
        <f>IF('Registro Proyectos'!B32="","",'Registro Proyectos'!B32)</f>
        <v/>
      </c>
      <c r="C31" s="3" t="str">
        <f>IF(B31="","",'Registro Proyectos'!M32)</f>
        <v/>
      </c>
      <c r="D31" s="12" t="str">
        <f t="shared" si="0"/>
        <v/>
      </c>
      <c r="E31" s="3" t="str">
        <f>IF(B31="","",'Registro Proyectos'!S32)</f>
        <v/>
      </c>
      <c r="F31" s="12" t="str">
        <f t="shared" si="1"/>
        <v/>
      </c>
      <c r="G31" s="3" t="str">
        <f>IF(B31="","",IF('Registro Proyectos'!I32="SI",ROUND(70*0.2+((5+IF('Registro Proyectos'!K32="",5,'Registro Proyectos'!K32))/20)*100*0.8,1),50))</f>
        <v/>
      </c>
      <c r="H31" s="12" t="str">
        <f t="shared" si="2"/>
        <v/>
      </c>
      <c r="I31" s="3" t="str">
        <f>IF(B31="","",'Registro Proyectos'!AB32)</f>
        <v/>
      </c>
      <c r="J31" s="12" t="str">
        <f t="shared" si="3"/>
        <v/>
      </c>
      <c r="K31" s="13" t="str">
        <f>IF(B31="","",'Registro Proyectos'!AC32)</f>
        <v/>
      </c>
      <c r="L31" s="9" t="str">
        <f t="shared" si="4"/>
        <v/>
      </c>
    </row>
    <row r="32" spans="1:12" ht="15" customHeight="1" x14ac:dyDescent="0.2">
      <c r="A32" s="3" t="str">
        <f>IF('Registro Proyectos'!B33="","",ROW()-2)</f>
        <v/>
      </c>
      <c r="B32" s="11" t="str">
        <f>IF('Registro Proyectos'!B33="","",'Registro Proyectos'!B33)</f>
        <v/>
      </c>
      <c r="C32" s="3" t="str">
        <f>IF(B32="","",'Registro Proyectos'!M33)</f>
        <v/>
      </c>
      <c r="D32" s="12" t="str">
        <f t="shared" si="0"/>
        <v/>
      </c>
      <c r="E32" s="3" t="str">
        <f>IF(B32="","",'Registro Proyectos'!S33)</f>
        <v/>
      </c>
      <c r="F32" s="12" t="str">
        <f t="shared" si="1"/>
        <v/>
      </c>
      <c r="G32" s="3" t="str">
        <f>IF(B32="","",IF('Registro Proyectos'!I33="SI",ROUND(70*0.2+((5+IF('Registro Proyectos'!K33="",5,'Registro Proyectos'!K33))/20)*100*0.8,1),50))</f>
        <v/>
      </c>
      <c r="H32" s="12" t="str">
        <f t="shared" si="2"/>
        <v/>
      </c>
      <c r="I32" s="3" t="str">
        <f>IF(B32="","",'Registro Proyectos'!AB33)</f>
        <v/>
      </c>
      <c r="J32" s="12" t="str">
        <f t="shared" si="3"/>
        <v/>
      </c>
      <c r="K32" s="13" t="str">
        <f>IF(B32="","",'Registro Proyectos'!AC33)</f>
        <v/>
      </c>
      <c r="L32" s="9" t="str">
        <f t="shared" si="4"/>
        <v/>
      </c>
    </row>
    <row r="33" spans="1:12" ht="15" customHeight="1" x14ac:dyDescent="0.2">
      <c r="A33" s="3" t="str">
        <f>IF('Registro Proyectos'!B34="","",ROW()-2)</f>
        <v/>
      </c>
      <c r="B33" s="11" t="str">
        <f>IF('Registro Proyectos'!B34="","",'Registro Proyectos'!B34)</f>
        <v/>
      </c>
      <c r="C33" s="3" t="str">
        <f>IF(B33="","",'Registro Proyectos'!M34)</f>
        <v/>
      </c>
      <c r="D33" s="12" t="str">
        <f t="shared" si="0"/>
        <v/>
      </c>
      <c r="E33" s="3" t="str">
        <f>IF(B33="","",'Registro Proyectos'!S34)</f>
        <v/>
      </c>
      <c r="F33" s="12" t="str">
        <f t="shared" si="1"/>
        <v/>
      </c>
      <c r="G33" s="3" t="str">
        <f>IF(B33="","",IF('Registro Proyectos'!I34="SI",ROUND(70*0.2+((5+IF('Registro Proyectos'!K34="",5,'Registro Proyectos'!K34))/20)*100*0.8,1),50))</f>
        <v/>
      </c>
      <c r="H33" s="12" t="str">
        <f t="shared" si="2"/>
        <v/>
      </c>
      <c r="I33" s="3" t="str">
        <f>IF(B33="","",'Registro Proyectos'!AB34)</f>
        <v/>
      </c>
      <c r="J33" s="12" t="str">
        <f t="shared" si="3"/>
        <v/>
      </c>
      <c r="K33" s="13" t="str">
        <f>IF(B33="","",'Registro Proyectos'!AC34)</f>
        <v/>
      </c>
      <c r="L33" s="9" t="str">
        <f t="shared" si="4"/>
        <v/>
      </c>
    </row>
    <row r="34" spans="1:12" ht="15" customHeight="1" x14ac:dyDescent="0.2">
      <c r="A34" s="3" t="str">
        <f>IF('Registro Proyectos'!B35="","",ROW()-2)</f>
        <v/>
      </c>
      <c r="B34" s="11" t="str">
        <f>IF('Registro Proyectos'!B35="","",'Registro Proyectos'!B35)</f>
        <v/>
      </c>
      <c r="C34" s="3" t="str">
        <f>IF(B34="","",'Registro Proyectos'!M35)</f>
        <v/>
      </c>
      <c r="D34" s="12" t="str">
        <f t="shared" si="0"/>
        <v/>
      </c>
      <c r="E34" s="3" t="str">
        <f>IF(B34="","",'Registro Proyectos'!S35)</f>
        <v/>
      </c>
      <c r="F34" s="12" t="str">
        <f t="shared" si="1"/>
        <v/>
      </c>
      <c r="G34" s="3" t="str">
        <f>IF(B34="","",IF('Registro Proyectos'!I35="SI",ROUND(70*0.2+((5+IF('Registro Proyectos'!K35="",5,'Registro Proyectos'!K35))/20)*100*0.8,1),50))</f>
        <v/>
      </c>
      <c r="H34" s="12" t="str">
        <f t="shared" si="2"/>
        <v/>
      </c>
      <c r="I34" s="3" t="str">
        <f>IF(B34="","",'Registro Proyectos'!AB35)</f>
        <v/>
      </c>
      <c r="J34" s="12" t="str">
        <f t="shared" si="3"/>
        <v/>
      </c>
      <c r="K34" s="13" t="str">
        <f>IF(B34="","",'Registro Proyectos'!AC35)</f>
        <v/>
      </c>
      <c r="L34" s="9" t="str">
        <f t="shared" si="4"/>
        <v/>
      </c>
    </row>
    <row r="35" spans="1:12" ht="15" customHeight="1" x14ac:dyDescent="0.2">
      <c r="A35" s="3" t="str">
        <f>IF('Registro Proyectos'!B36="","",ROW()-2)</f>
        <v/>
      </c>
      <c r="B35" s="11" t="str">
        <f>IF('Registro Proyectos'!B36="","",'Registro Proyectos'!B36)</f>
        <v/>
      </c>
      <c r="C35" s="3" t="str">
        <f>IF(B35="","",'Registro Proyectos'!M36)</f>
        <v/>
      </c>
      <c r="D35" s="12" t="str">
        <f t="shared" ref="D35:D66" si="5">IF(C35="","",ROUND(C35*0.4,1))</f>
        <v/>
      </c>
      <c r="E35" s="3" t="str">
        <f>IF(B35="","",'Registro Proyectos'!S36)</f>
        <v/>
      </c>
      <c r="F35" s="12" t="str">
        <f t="shared" ref="F35:F66" si="6">IF(E35="","",ROUND(E35*0.25,1))</f>
        <v/>
      </c>
      <c r="G35" s="3" t="str">
        <f>IF(B35="","",IF('Registro Proyectos'!I36="SI",ROUND(70*0.2+((5+IF('Registro Proyectos'!K36="",5,'Registro Proyectos'!K36))/20)*100*0.8,1),50))</f>
        <v/>
      </c>
      <c r="H35" s="12" t="str">
        <f t="shared" ref="H35:H66" si="7">IF(G35="","",ROUND(G35*0.2,1))</f>
        <v/>
      </c>
      <c r="I35" s="3" t="str">
        <f>IF(B35="","",'Registro Proyectos'!AB36)</f>
        <v/>
      </c>
      <c r="J35" s="12" t="str">
        <f t="shared" ref="J35:J66" si="8">IF(I35="","",ROUND(I35*0.15,1))</f>
        <v/>
      </c>
      <c r="K35" s="13" t="str">
        <f>IF(B35="","",'Registro Proyectos'!AC36)</f>
        <v/>
      </c>
      <c r="L35" s="9" t="str">
        <f t="shared" ref="L35:L66" si="9">IF(K35="","",IF(C35=0,"RECHAZADO",IF(K35&gt;=85,"MUY ALTA",IF(K35&gt;=70,"ALTA",IF(K35&gt;=50,"MEDIA","BAJA")))))</f>
        <v/>
      </c>
    </row>
    <row r="36" spans="1:12" ht="15" customHeight="1" x14ac:dyDescent="0.2">
      <c r="A36" s="3" t="str">
        <f>IF('Registro Proyectos'!B37="","",ROW()-2)</f>
        <v/>
      </c>
      <c r="B36" s="11" t="str">
        <f>IF('Registro Proyectos'!B37="","",'Registro Proyectos'!B37)</f>
        <v/>
      </c>
      <c r="C36" s="3" t="str">
        <f>IF(B36="","",'Registro Proyectos'!M37)</f>
        <v/>
      </c>
      <c r="D36" s="12" t="str">
        <f t="shared" si="5"/>
        <v/>
      </c>
      <c r="E36" s="3" t="str">
        <f>IF(B36="","",'Registro Proyectos'!S37)</f>
        <v/>
      </c>
      <c r="F36" s="12" t="str">
        <f t="shared" si="6"/>
        <v/>
      </c>
      <c r="G36" s="3" t="str">
        <f>IF(B36="","",IF('Registro Proyectos'!I37="SI",ROUND(70*0.2+((5+IF('Registro Proyectos'!K37="",5,'Registro Proyectos'!K37))/20)*100*0.8,1),50))</f>
        <v/>
      </c>
      <c r="H36" s="12" t="str">
        <f t="shared" si="7"/>
        <v/>
      </c>
      <c r="I36" s="3" t="str">
        <f>IF(B36="","",'Registro Proyectos'!AB37)</f>
        <v/>
      </c>
      <c r="J36" s="12" t="str">
        <f t="shared" si="8"/>
        <v/>
      </c>
      <c r="K36" s="13" t="str">
        <f>IF(B36="","",'Registro Proyectos'!AC37)</f>
        <v/>
      </c>
      <c r="L36" s="9" t="str">
        <f t="shared" si="9"/>
        <v/>
      </c>
    </row>
    <row r="37" spans="1:12" ht="15" customHeight="1" x14ac:dyDescent="0.2">
      <c r="A37" s="3" t="str">
        <f>IF('Registro Proyectos'!B38="","",ROW()-2)</f>
        <v/>
      </c>
      <c r="B37" s="11" t="str">
        <f>IF('Registro Proyectos'!B38="","",'Registro Proyectos'!B38)</f>
        <v/>
      </c>
      <c r="C37" s="3" t="str">
        <f>IF(B37="","",'Registro Proyectos'!M38)</f>
        <v/>
      </c>
      <c r="D37" s="12" t="str">
        <f t="shared" si="5"/>
        <v/>
      </c>
      <c r="E37" s="3" t="str">
        <f>IF(B37="","",'Registro Proyectos'!S38)</f>
        <v/>
      </c>
      <c r="F37" s="12" t="str">
        <f t="shared" si="6"/>
        <v/>
      </c>
      <c r="G37" s="3" t="str">
        <f>IF(B37="","",IF('Registro Proyectos'!I38="SI",ROUND(70*0.2+((5+IF('Registro Proyectos'!K38="",5,'Registro Proyectos'!K38))/20)*100*0.8,1),50))</f>
        <v/>
      </c>
      <c r="H37" s="12" t="str">
        <f t="shared" si="7"/>
        <v/>
      </c>
      <c r="I37" s="3" t="str">
        <f>IF(B37="","",'Registro Proyectos'!AB38)</f>
        <v/>
      </c>
      <c r="J37" s="12" t="str">
        <f t="shared" si="8"/>
        <v/>
      </c>
      <c r="K37" s="13" t="str">
        <f>IF(B37="","",'Registro Proyectos'!AC38)</f>
        <v/>
      </c>
      <c r="L37" s="9" t="str">
        <f t="shared" si="9"/>
        <v/>
      </c>
    </row>
    <row r="38" spans="1:12" ht="15" customHeight="1" x14ac:dyDescent="0.2">
      <c r="A38" s="3" t="str">
        <f>IF('Registro Proyectos'!B39="","",ROW()-2)</f>
        <v/>
      </c>
      <c r="B38" s="11" t="str">
        <f>IF('Registro Proyectos'!B39="","",'Registro Proyectos'!B39)</f>
        <v/>
      </c>
      <c r="C38" s="3" t="str">
        <f>IF(B38="","",'Registro Proyectos'!M39)</f>
        <v/>
      </c>
      <c r="D38" s="12" t="str">
        <f t="shared" si="5"/>
        <v/>
      </c>
      <c r="E38" s="3" t="str">
        <f>IF(B38="","",'Registro Proyectos'!S39)</f>
        <v/>
      </c>
      <c r="F38" s="12" t="str">
        <f t="shared" si="6"/>
        <v/>
      </c>
      <c r="G38" s="3" t="str">
        <f>IF(B38="","",IF('Registro Proyectos'!I39="SI",ROUND(70*0.2+((5+IF('Registro Proyectos'!K39="",5,'Registro Proyectos'!K39))/20)*100*0.8,1),50))</f>
        <v/>
      </c>
      <c r="H38" s="12" t="str">
        <f t="shared" si="7"/>
        <v/>
      </c>
      <c r="I38" s="3" t="str">
        <f>IF(B38="","",'Registro Proyectos'!AB39)</f>
        <v/>
      </c>
      <c r="J38" s="12" t="str">
        <f t="shared" si="8"/>
        <v/>
      </c>
      <c r="K38" s="13" t="str">
        <f>IF(B38="","",'Registro Proyectos'!AC39)</f>
        <v/>
      </c>
      <c r="L38" s="9" t="str">
        <f t="shared" si="9"/>
        <v/>
      </c>
    </row>
    <row r="39" spans="1:12" ht="15" customHeight="1" x14ac:dyDescent="0.2">
      <c r="A39" s="3" t="str">
        <f>IF('Registro Proyectos'!B40="","",ROW()-2)</f>
        <v/>
      </c>
      <c r="B39" s="11" t="str">
        <f>IF('Registro Proyectos'!B40="","",'Registro Proyectos'!B40)</f>
        <v/>
      </c>
      <c r="C39" s="3" t="str">
        <f>IF(B39="","",'Registro Proyectos'!M40)</f>
        <v/>
      </c>
      <c r="D39" s="12" t="str">
        <f t="shared" si="5"/>
        <v/>
      </c>
      <c r="E39" s="3" t="str">
        <f>IF(B39="","",'Registro Proyectos'!S40)</f>
        <v/>
      </c>
      <c r="F39" s="12" t="str">
        <f t="shared" si="6"/>
        <v/>
      </c>
      <c r="G39" s="3" t="str">
        <f>IF(B39="","",IF('Registro Proyectos'!I40="SI",ROUND(70*0.2+((5+IF('Registro Proyectos'!K40="",5,'Registro Proyectos'!K40))/20)*100*0.8,1),50))</f>
        <v/>
      </c>
      <c r="H39" s="12" t="str">
        <f t="shared" si="7"/>
        <v/>
      </c>
      <c r="I39" s="3" t="str">
        <f>IF(B39="","",'Registro Proyectos'!AB40)</f>
        <v/>
      </c>
      <c r="J39" s="12" t="str">
        <f t="shared" si="8"/>
        <v/>
      </c>
      <c r="K39" s="13" t="str">
        <f>IF(B39="","",'Registro Proyectos'!AC40)</f>
        <v/>
      </c>
      <c r="L39" s="9" t="str">
        <f t="shared" si="9"/>
        <v/>
      </c>
    </row>
    <row r="40" spans="1:12" ht="15" customHeight="1" x14ac:dyDescent="0.2">
      <c r="A40" s="3" t="str">
        <f>IF('Registro Proyectos'!B41="","",ROW()-2)</f>
        <v/>
      </c>
      <c r="B40" s="11" t="str">
        <f>IF('Registro Proyectos'!B41="","",'Registro Proyectos'!B41)</f>
        <v/>
      </c>
      <c r="C40" s="3" t="str">
        <f>IF(B40="","",'Registro Proyectos'!M41)</f>
        <v/>
      </c>
      <c r="D40" s="12" t="str">
        <f t="shared" si="5"/>
        <v/>
      </c>
      <c r="E40" s="3" t="str">
        <f>IF(B40="","",'Registro Proyectos'!S41)</f>
        <v/>
      </c>
      <c r="F40" s="12" t="str">
        <f t="shared" si="6"/>
        <v/>
      </c>
      <c r="G40" s="3" t="str">
        <f>IF(B40="","",IF('Registro Proyectos'!I41="SI",ROUND(70*0.2+((5+IF('Registro Proyectos'!K41="",5,'Registro Proyectos'!K41))/20)*100*0.8,1),50))</f>
        <v/>
      </c>
      <c r="H40" s="12" t="str">
        <f t="shared" si="7"/>
        <v/>
      </c>
      <c r="I40" s="3" t="str">
        <f>IF(B40="","",'Registro Proyectos'!AB41)</f>
        <v/>
      </c>
      <c r="J40" s="12" t="str">
        <f t="shared" si="8"/>
        <v/>
      </c>
      <c r="K40" s="13" t="str">
        <f>IF(B40="","",'Registro Proyectos'!AC41)</f>
        <v/>
      </c>
      <c r="L40" s="9" t="str">
        <f t="shared" si="9"/>
        <v/>
      </c>
    </row>
    <row r="41" spans="1:12" ht="15" customHeight="1" x14ac:dyDescent="0.2">
      <c r="A41" s="3" t="str">
        <f>IF('Registro Proyectos'!B42="","",ROW()-2)</f>
        <v/>
      </c>
      <c r="B41" s="11" t="str">
        <f>IF('Registro Proyectos'!B42="","",'Registro Proyectos'!B42)</f>
        <v/>
      </c>
      <c r="C41" s="3" t="str">
        <f>IF(B41="","",'Registro Proyectos'!M42)</f>
        <v/>
      </c>
      <c r="D41" s="12" t="str">
        <f t="shared" si="5"/>
        <v/>
      </c>
      <c r="E41" s="3" t="str">
        <f>IF(B41="","",'Registro Proyectos'!S42)</f>
        <v/>
      </c>
      <c r="F41" s="12" t="str">
        <f t="shared" si="6"/>
        <v/>
      </c>
      <c r="G41" s="3" t="str">
        <f>IF(B41="","",IF('Registro Proyectos'!I42="SI",ROUND(70*0.2+((5+IF('Registro Proyectos'!K42="",5,'Registro Proyectos'!K42))/20)*100*0.8,1),50))</f>
        <v/>
      </c>
      <c r="H41" s="12" t="str">
        <f t="shared" si="7"/>
        <v/>
      </c>
      <c r="I41" s="3" t="str">
        <f>IF(B41="","",'Registro Proyectos'!AB42)</f>
        <v/>
      </c>
      <c r="J41" s="12" t="str">
        <f t="shared" si="8"/>
        <v/>
      </c>
      <c r="K41" s="13" t="str">
        <f>IF(B41="","",'Registro Proyectos'!AC42)</f>
        <v/>
      </c>
      <c r="L41" s="9" t="str">
        <f t="shared" si="9"/>
        <v/>
      </c>
    </row>
    <row r="42" spans="1:12" ht="15" customHeight="1" x14ac:dyDescent="0.2">
      <c r="A42" s="3" t="str">
        <f>IF('Registro Proyectos'!B43="","",ROW()-2)</f>
        <v/>
      </c>
      <c r="B42" s="11" t="str">
        <f>IF('Registro Proyectos'!B43="","",'Registro Proyectos'!B43)</f>
        <v/>
      </c>
      <c r="C42" s="3" t="str">
        <f>IF(B42="","",'Registro Proyectos'!M43)</f>
        <v/>
      </c>
      <c r="D42" s="12" t="str">
        <f t="shared" si="5"/>
        <v/>
      </c>
      <c r="E42" s="3" t="str">
        <f>IF(B42="","",'Registro Proyectos'!S43)</f>
        <v/>
      </c>
      <c r="F42" s="12" t="str">
        <f t="shared" si="6"/>
        <v/>
      </c>
      <c r="G42" s="3" t="str">
        <f>IF(B42="","",IF('Registro Proyectos'!I43="SI",ROUND(70*0.2+((5+IF('Registro Proyectos'!K43="",5,'Registro Proyectos'!K43))/20)*100*0.8,1),50))</f>
        <v/>
      </c>
      <c r="H42" s="12" t="str">
        <f t="shared" si="7"/>
        <v/>
      </c>
      <c r="I42" s="3" t="str">
        <f>IF(B42="","",'Registro Proyectos'!AB43)</f>
        <v/>
      </c>
      <c r="J42" s="12" t="str">
        <f t="shared" si="8"/>
        <v/>
      </c>
      <c r="K42" s="13" t="str">
        <f>IF(B42="","",'Registro Proyectos'!AC43)</f>
        <v/>
      </c>
      <c r="L42" s="9" t="str">
        <f t="shared" si="9"/>
        <v/>
      </c>
    </row>
    <row r="43" spans="1:12" ht="15" customHeight="1" x14ac:dyDescent="0.2">
      <c r="A43" s="3" t="str">
        <f>IF('Registro Proyectos'!B44="","",ROW()-2)</f>
        <v/>
      </c>
      <c r="B43" s="11" t="str">
        <f>IF('Registro Proyectos'!B44="","",'Registro Proyectos'!B44)</f>
        <v/>
      </c>
      <c r="C43" s="3" t="str">
        <f>IF(B43="","",'Registro Proyectos'!M44)</f>
        <v/>
      </c>
      <c r="D43" s="12" t="str">
        <f t="shared" si="5"/>
        <v/>
      </c>
      <c r="E43" s="3" t="str">
        <f>IF(B43="","",'Registro Proyectos'!S44)</f>
        <v/>
      </c>
      <c r="F43" s="12" t="str">
        <f t="shared" si="6"/>
        <v/>
      </c>
      <c r="G43" s="3" t="str">
        <f>IF(B43="","",IF('Registro Proyectos'!I44="SI",ROUND(70*0.2+((5+IF('Registro Proyectos'!K44="",5,'Registro Proyectos'!K44))/20)*100*0.8,1),50))</f>
        <v/>
      </c>
      <c r="H43" s="12" t="str">
        <f t="shared" si="7"/>
        <v/>
      </c>
      <c r="I43" s="3" t="str">
        <f>IF(B43="","",'Registro Proyectos'!AB44)</f>
        <v/>
      </c>
      <c r="J43" s="12" t="str">
        <f t="shared" si="8"/>
        <v/>
      </c>
      <c r="K43" s="13" t="str">
        <f>IF(B43="","",'Registro Proyectos'!AC44)</f>
        <v/>
      </c>
      <c r="L43" s="9" t="str">
        <f t="shared" si="9"/>
        <v/>
      </c>
    </row>
    <row r="44" spans="1:12" ht="15" customHeight="1" x14ac:dyDescent="0.2">
      <c r="A44" s="3" t="str">
        <f>IF('Registro Proyectos'!B45="","",ROW()-2)</f>
        <v/>
      </c>
      <c r="B44" s="11" t="str">
        <f>IF('Registro Proyectos'!B45="","",'Registro Proyectos'!B45)</f>
        <v/>
      </c>
      <c r="C44" s="3" t="str">
        <f>IF(B44="","",'Registro Proyectos'!M45)</f>
        <v/>
      </c>
      <c r="D44" s="12" t="str">
        <f t="shared" si="5"/>
        <v/>
      </c>
      <c r="E44" s="3" t="str">
        <f>IF(B44="","",'Registro Proyectos'!S45)</f>
        <v/>
      </c>
      <c r="F44" s="12" t="str">
        <f t="shared" si="6"/>
        <v/>
      </c>
      <c r="G44" s="3" t="str">
        <f>IF(B44="","",IF('Registro Proyectos'!I45="SI",ROUND(70*0.2+((5+IF('Registro Proyectos'!K45="",5,'Registro Proyectos'!K45))/20)*100*0.8,1),50))</f>
        <v/>
      </c>
      <c r="H44" s="12" t="str">
        <f t="shared" si="7"/>
        <v/>
      </c>
      <c r="I44" s="3" t="str">
        <f>IF(B44="","",'Registro Proyectos'!AB45)</f>
        <v/>
      </c>
      <c r="J44" s="12" t="str">
        <f t="shared" si="8"/>
        <v/>
      </c>
      <c r="K44" s="13" t="str">
        <f>IF(B44="","",'Registro Proyectos'!AC45)</f>
        <v/>
      </c>
      <c r="L44" s="9" t="str">
        <f t="shared" si="9"/>
        <v/>
      </c>
    </row>
    <row r="45" spans="1:12" ht="15" customHeight="1" x14ac:dyDescent="0.2">
      <c r="A45" s="3" t="str">
        <f>IF('Registro Proyectos'!B46="","",ROW()-2)</f>
        <v/>
      </c>
      <c r="B45" s="11" t="str">
        <f>IF('Registro Proyectos'!B46="","",'Registro Proyectos'!B46)</f>
        <v/>
      </c>
      <c r="C45" s="3" t="str">
        <f>IF(B45="","",'Registro Proyectos'!M46)</f>
        <v/>
      </c>
      <c r="D45" s="12" t="str">
        <f t="shared" si="5"/>
        <v/>
      </c>
      <c r="E45" s="3" t="str">
        <f>IF(B45="","",'Registro Proyectos'!S46)</f>
        <v/>
      </c>
      <c r="F45" s="12" t="str">
        <f t="shared" si="6"/>
        <v/>
      </c>
      <c r="G45" s="3" t="str">
        <f>IF(B45="","",IF('Registro Proyectos'!I46="SI",ROUND(70*0.2+((5+IF('Registro Proyectos'!K46="",5,'Registro Proyectos'!K46))/20)*100*0.8,1),50))</f>
        <v/>
      </c>
      <c r="H45" s="12" t="str">
        <f t="shared" si="7"/>
        <v/>
      </c>
      <c r="I45" s="3" t="str">
        <f>IF(B45="","",'Registro Proyectos'!AB46)</f>
        <v/>
      </c>
      <c r="J45" s="12" t="str">
        <f t="shared" si="8"/>
        <v/>
      </c>
      <c r="K45" s="13" t="str">
        <f>IF(B45="","",'Registro Proyectos'!AC46)</f>
        <v/>
      </c>
      <c r="L45" s="9" t="str">
        <f t="shared" si="9"/>
        <v/>
      </c>
    </row>
    <row r="46" spans="1:12" ht="15" customHeight="1" x14ac:dyDescent="0.2">
      <c r="A46" s="3" t="str">
        <f>IF('Registro Proyectos'!B47="","",ROW()-2)</f>
        <v/>
      </c>
      <c r="B46" s="11" t="str">
        <f>IF('Registro Proyectos'!B47="","",'Registro Proyectos'!B47)</f>
        <v/>
      </c>
      <c r="C46" s="3" t="str">
        <f>IF(B46="","",'Registro Proyectos'!M47)</f>
        <v/>
      </c>
      <c r="D46" s="12" t="str">
        <f t="shared" si="5"/>
        <v/>
      </c>
      <c r="E46" s="3" t="str">
        <f>IF(B46="","",'Registro Proyectos'!S47)</f>
        <v/>
      </c>
      <c r="F46" s="12" t="str">
        <f t="shared" si="6"/>
        <v/>
      </c>
      <c r="G46" s="3" t="str">
        <f>IF(B46="","",IF('Registro Proyectos'!I47="SI",ROUND(70*0.2+((5+IF('Registro Proyectos'!K47="",5,'Registro Proyectos'!K47))/20)*100*0.8,1),50))</f>
        <v/>
      </c>
      <c r="H46" s="12" t="str">
        <f t="shared" si="7"/>
        <v/>
      </c>
      <c r="I46" s="3" t="str">
        <f>IF(B46="","",'Registro Proyectos'!AB47)</f>
        <v/>
      </c>
      <c r="J46" s="12" t="str">
        <f t="shared" si="8"/>
        <v/>
      </c>
      <c r="K46" s="13" t="str">
        <f>IF(B46="","",'Registro Proyectos'!AC47)</f>
        <v/>
      </c>
      <c r="L46" s="9" t="str">
        <f t="shared" si="9"/>
        <v/>
      </c>
    </row>
    <row r="47" spans="1:12" ht="15" customHeight="1" x14ac:dyDescent="0.2">
      <c r="A47" s="3" t="str">
        <f>IF('Registro Proyectos'!B48="","",ROW()-2)</f>
        <v/>
      </c>
      <c r="B47" s="11" t="str">
        <f>IF('Registro Proyectos'!B48="","",'Registro Proyectos'!B48)</f>
        <v/>
      </c>
      <c r="C47" s="3" t="str">
        <f>IF(B47="","",'Registro Proyectos'!M48)</f>
        <v/>
      </c>
      <c r="D47" s="12" t="str">
        <f t="shared" si="5"/>
        <v/>
      </c>
      <c r="E47" s="3" t="str">
        <f>IF(B47="","",'Registro Proyectos'!S48)</f>
        <v/>
      </c>
      <c r="F47" s="12" t="str">
        <f t="shared" si="6"/>
        <v/>
      </c>
      <c r="G47" s="3" t="str">
        <f>IF(B47="","",IF('Registro Proyectos'!I48="SI",ROUND(70*0.2+((5+IF('Registro Proyectos'!K48="",5,'Registro Proyectos'!K48))/20)*100*0.8,1),50))</f>
        <v/>
      </c>
      <c r="H47" s="12" t="str">
        <f t="shared" si="7"/>
        <v/>
      </c>
      <c r="I47" s="3" t="str">
        <f>IF(B47="","",'Registro Proyectos'!AB48)</f>
        <v/>
      </c>
      <c r="J47" s="12" t="str">
        <f t="shared" si="8"/>
        <v/>
      </c>
      <c r="K47" s="13" t="str">
        <f>IF(B47="","",'Registro Proyectos'!AC48)</f>
        <v/>
      </c>
      <c r="L47" s="9" t="str">
        <f t="shared" si="9"/>
        <v/>
      </c>
    </row>
    <row r="48" spans="1:12" ht="15" customHeight="1" x14ac:dyDescent="0.2">
      <c r="A48" s="3" t="str">
        <f>IF('Registro Proyectos'!B49="","",ROW()-2)</f>
        <v/>
      </c>
      <c r="B48" s="11" t="str">
        <f>IF('Registro Proyectos'!B49="","",'Registro Proyectos'!B49)</f>
        <v/>
      </c>
      <c r="C48" s="3" t="str">
        <f>IF(B48="","",'Registro Proyectos'!M49)</f>
        <v/>
      </c>
      <c r="D48" s="12" t="str">
        <f t="shared" si="5"/>
        <v/>
      </c>
      <c r="E48" s="3" t="str">
        <f>IF(B48="","",'Registro Proyectos'!S49)</f>
        <v/>
      </c>
      <c r="F48" s="12" t="str">
        <f t="shared" si="6"/>
        <v/>
      </c>
      <c r="G48" s="3" t="str">
        <f>IF(B48="","",IF('Registro Proyectos'!I49="SI",ROUND(70*0.2+((5+IF('Registro Proyectos'!K49="",5,'Registro Proyectos'!K49))/20)*100*0.8,1),50))</f>
        <v/>
      </c>
      <c r="H48" s="12" t="str">
        <f t="shared" si="7"/>
        <v/>
      </c>
      <c r="I48" s="3" t="str">
        <f>IF(B48="","",'Registro Proyectos'!AB49)</f>
        <v/>
      </c>
      <c r="J48" s="12" t="str">
        <f t="shared" si="8"/>
        <v/>
      </c>
      <c r="K48" s="13" t="str">
        <f>IF(B48="","",'Registro Proyectos'!AC49)</f>
        <v/>
      </c>
      <c r="L48" s="9" t="str">
        <f t="shared" si="9"/>
        <v/>
      </c>
    </row>
    <row r="49" spans="1:12" ht="15" customHeight="1" x14ac:dyDescent="0.2">
      <c r="A49" s="3" t="str">
        <f>IF('Registro Proyectos'!B50="","",ROW()-2)</f>
        <v/>
      </c>
      <c r="B49" s="11" t="str">
        <f>IF('Registro Proyectos'!B50="","",'Registro Proyectos'!B50)</f>
        <v/>
      </c>
      <c r="C49" s="3" t="str">
        <f>IF(B49="","",'Registro Proyectos'!M50)</f>
        <v/>
      </c>
      <c r="D49" s="12" t="str">
        <f t="shared" si="5"/>
        <v/>
      </c>
      <c r="E49" s="3" t="str">
        <f>IF(B49="","",'Registro Proyectos'!S50)</f>
        <v/>
      </c>
      <c r="F49" s="12" t="str">
        <f t="shared" si="6"/>
        <v/>
      </c>
      <c r="G49" s="3" t="str">
        <f>IF(B49="","",IF('Registro Proyectos'!I50="SI",ROUND(70*0.2+((5+IF('Registro Proyectos'!K50="",5,'Registro Proyectos'!K50))/20)*100*0.8,1),50))</f>
        <v/>
      </c>
      <c r="H49" s="12" t="str">
        <f t="shared" si="7"/>
        <v/>
      </c>
      <c r="I49" s="3" t="str">
        <f>IF(B49="","",'Registro Proyectos'!AB50)</f>
        <v/>
      </c>
      <c r="J49" s="12" t="str">
        <f t="shared" si="8"/>
        <v/>
      </c>
      <c r="K49" s="13" t="str">
        <f>IF(B49="","",'Registro Proyectos'!AC50)</f>
        <v/>
      </c>
      <c r="L49" s="9" t="str">
        <f t="shared" si="9"/>
        <v/>
      </c>
    </row>
    <row r="50" spans="1:12" ht="15" customHeight="1" x14ac:dyDescent="0.2">
      <c r="A50" s="3" t="str">
        <f>IF('Registro Proyectos'!B51="","",ROW()-2)</f>
        <v/>
      </c>
      <c r="B50" s="11" t="str">
        <f>IF('Registro Proyectos'!B51="","",'Registro Proyectos'!B51)</f>
        <v/>
      </c>
      <c r="C50" s="3" t="str">
        <f>IF(B50="","",'Registro Proyectos'!M51)</f>
        <v/>
      </c>
      <c r="D50" s="12" t="str">
        <f t="shared" si="5"/>
        <v/>
      </c>
      <c r="E50" s="3" t="str">
        <f>IF(B50="","",'Registro Proyectos'!S51)</f>
        <v/>
      </c>
      <c r="F50" s="12" t="str">
        <f t="shared" si="6"/>
        <v/>
      </c>
      <c r="G50" s="3" t="str">
        <f>IF(B50="","",IF('Registro Proyectos'!I51="SI",ROUND(70*0.2+((5+IF('Registro Proyectos'!K51="",5,'Registro Proyectos'!K51))/20)*100*0.8,1),50))</f>
        <v/>
      </c>
      <c r="H50" s="12" t="str">
        <f t="shared" si="7"/>
        <v/>
      </c>
      <c r="I50" s="3" t="str">
        <f>IF(B50="","",'Registro Proyectos'!AB51)</f>
        <v/>
      </c>
      <c r="J50" s="12" t="str">
        <f t="shared" si="8"/>
        <v/>
      </c>
      <c r="K50" s="13" t="str">
        <f>IF(B50="","",'Registro Proyectos'!AC51)</f>
        <v/>
      </c>
      <c r="L50" s="9" t="str">
        <f t="shared" si="9"/>
        <v/>
      </c>
    </row>
    <row r="51" spans="1:12" ht="15" customHeight="1" x14ac:dyDescent="0.2">
      <c r="A51" s="3" t="str">
        <f>IF('Registro Proyectos'!B52="","",ROW()-2)</f>
        <v/>
      </c>
      <c r="B51" s="11" t="str">
        <f>IF('Registro Proyectos'!B52="","",'Registro Proyectos'!B52)</f>
        <v/>
      </c>
      <c r="C51" s="3" t="str">
        <f>IF(B51="","",'Registro Proyectos'!M52)</f>
        <v/>
      </c>
      <c r="D51" s="12" t="str">
        <f t="shared" si="5"/>
        <v/>
      </c>
      <c r="E51" s="3" t="str">
        <f>IF(B51="","",'Registro Proyectos'!S52)</f>
        <v/>
      </c>
      <c r="F51" s="12" t="str">
        <f t="shared" si="6"/>
        <v/>
      </c>
      <c r="G51" s="3" t="str">
        <f>IF(B51="","",IF('Registro Proyectos'!I52="SI",ROUND(70*0.2+((5+IF('Registro Proyectos'!K52="",5,'Registro Proyectos'!K52))/20)*100*0.8,1),50))</f>
        <v/>
      </c>
      <c r="H51" s="12" t="str">
        <f t="shared" si="7"/>
        <v/>
      </c>
      <c r="I51" s="3" t="str">
        <f>IF(B51="","",'Registro Proyectos'!AB52)</f>
        <v/>
      </c>
      <c r="J51" s="12" t="str">
        <f t="shared" si="8"/>
        <v/>
      </c>
      <c r="K51" s="13" t="str">
        <f>IF(B51="","",'Registro Proyectos'!AC52)</f>
        <v/>
      </c>
      <c r="L51" s="9" t="str">
        <f t="shared" si="9"/>
        <v/>
      </c>
    </row>
    <row r="52" spans="1:12" ht="15" customHeight="1" x14ac:dyDescent="0.2">
      <c r="A52" s="3" t="str">
        <f>IF('Registro Proyectos'!B53="","",ROW()-2)</f>
        <v/>
      </c>
      <c r="B52" s="11" t="str">
        <f>IF('Registro Proyectos'!B53="","",'Registro Proyectos'!B53)</f>
        <v/>
      </c>
      <c r="C52" s="3" t="str">
        <f>IF(B52="","",'Registro Proyectos'!M53)</f>
        <v/>
      </c>
      <c r="D52" s="12" t="str">
        <f t="shared" si="5"/>
        <v/>
      </c>
      <c r="E52" s="3" t="str">
        <f>IF(B52="","",'Registro Proyectos'!S53)</f>
        <v/>
      </c>
      <c r="F52" s="12" t="str">
        <f t="shared" si="6"/>
        <v/>
      </c>
      <c r="G52" s="3" t="str">
        <f>IF(B52="","",IF('Registro Proyectos'!I53="SI",ROUND(70*0.2+((5+IF('Registro Proyectos'!K53="",5,'Registro Proyectos'!K53))/20)*100*0.8,1),50))</f>
        <v/>
      </c>
      <c r="H52" s="12" t="str">
        <f t="shared" si="7"/>
        <v/>
      </c>
      <c r="I52" s="3" t="str">
        <f>IF(B52="","",'Registro Proyectos'!AB53)</f>
        <v/>
      </c>
      <c r="J52" s="12" t="str">
        <f t="shared" si="8"/>
        <v/>
      </c>
      <c r="K52" s="13" t="str">
        <f>IF(B52="","",'Registro Proyectos'!AC53)</f>
        <v/>
      </c>
      <c r="L52" s="9" t="str">
        <f t="shared" si="9"/>
        <v/>
      </c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39C12"/>
  </sheetPr>
  <dimension ref="A1:H41"/>
  <sheetViews>
    <sheetView zoomScaleNormal="100" workbookViewId="0"/>
  </sheetViews>
  <sheetFormatPr baseColWidth="10" defaultColWidth="8.6640625" defaultRowHeight="15" customHeight="1" x14ac:dyDescent="0.2"/>
  <cols>
    <col min="1" max="1" width="25" customWidth="1"/>
    <col min="2" max="2" width="18" customWidth="1"/>
    <col min="3" max="3" width="10" customWidth="1"/>
    <col min="4" max="4" width="40" customWidth="1"/>
    <col min="6" max="6" width="12" customWidth="1"/>
    <col min="7" max="7" width="25" customWidth="1"/>
    <col min="8" max="8" width="35" customWidth="1"/>
  </cols>
  <sheetData>
    <row r="1" spans="1:8" ht="15" customHeight="1" x14ac:dyDescent="0.2">
      <c r="A1" s="14" t="s">
        <v>49</v>
      </c>
      <c r="B1" s="14" t="s">
        <v>13</v>
      </c>
      <c r="C1" s="14" t="s">
        <v>50</v>
      </c>
      <c r="D1" s="14" t="s">
        <v>51</v>
      </c>
      <c r="F1" s="14" t="s">
        <v>52</v>
      </c>
    </row>
    <row r="2" spans="1:8" ht="15" customHeight="1" x14ac:dyDescent="0.2">
      <c r="A2" s="15" t="s">
        <v>53</v>
      </c>
      <c r="B2" s="15" t="s">
        <v>54</v>
      </c>
      <c r="C2" s="16">
        <v>6</v>
      </c>
      <c r="D2" s="17" t="s">
        <v>55</v>
      </c>
      <c r="F2" s="18" t="s">
        <v>56</v>
      </c>
    </row>
    <row r="3" spans="1:8" ht="15" customHeight="1" x14ac:dyDescent="0.2">
      <c r="A3" s="15" t="s">
        <v>53</v>
      </c>
      <c r="B3" s="15" t="s">
        <v>54</v>
      </c>
      <c r="C3" s="16">
        <v>3</v>
      </c>
      <c r="D3" s="17" t="s">
        <v>57</v>
      </c>
      <c r="F3" s="16">
        <v>5</v>
      </c>
      <c r="G3" s="19" t="s">
        <v>58</v>
      </c>
      <c r="H3" s="15" t="s">
        <v>59</v>
      </c>
    </row>
    <row r="4" spans="1:8" ht="15" customHeight="1" x14ac:dyDescent="0.2">
      <c r="A4" s="15" t="s">
        <v>53</v>
      </c>
      <c r="B4" s="15" t="s">
        <v>54</v>
      </c>
      <c r="C4" s="16">
        <v>9</v>
      </c>
      <c r="D4" s="17" t="s">
        <v>60</v>
      </c>
      <c r="F4" s="16">
        <v>4</v>
      </c>
      <c r="G4" s="19" t="s">
        <v>61</v>
      </c>
      <c r="H4" s="15" t="s">
        <v>62</v>
      </c>
    </row>
    <row r="5" spans="1:8" ht="15" customHeight="1" x14ac:dyDescent="0.2">
      <c r="A5" s="15" t="s">
        <v>53</v>
      </c>
      <c r="B5" s="15" t="s">
        <v>54</v>
      </c>
      <c r="C5" s="16">
        <v>7</v>
      </c>
      <c r="D5" s="17" t="s">
        <v>63</v>
      </c>
      <c r="F5" s="16">
        <v>3</v>
      </c>
      <c r="G5" s="19" t="s">
        <v>64</v>
      </c>
      <c r="H5" s="15" t="s">
        <v>65</v>
      </c>
    </row>
    <row r="6" spans="1:8" ht="15" customHeight="1" x14ac:dyDescent="0.2">
      <c r="A6" s="15" t="s">
        <v>66</v>
      </c>
      <c r="B6" s="15" t="s">
        <v>54</v>
      </c>
      <c r="C6" s="16">
        <v>5</v>
      </c>
      <c r="D6" s="17" t="s">
        <v>67</v>
      </c>
      <c r="F6" s="16">
        <v>2</v>
      </c>
      <c r="G6" s="19" t="s">
        <v>68</v>
      </c>
      <c r="H6" s="15" t="s">
        <v>69</v>
      </c>
    </row>
    <row r="7" spans="1:8" ht="15" customHeight="1" x14ac:dyDescent="0.2">
      <c r="A7" s="15" t="s">
        <v>66</v>
      </c>
      <c r="B7" s="15" t="s">
        <v>54</v>
      </c>
      <c r="C7" s="16">
        <v>4</v>
      </c>
      <c r="D7" s="17" t="s">
        <v>70</v>
      </c>
      <c r="F7" s="16">
        <v>1</v>
      </c>
      <c r="G7" s="19" t="s">
        <v>71</v>
      </c>
      <c r="H7" s="15" t="s">
        <v>72</v>
      </c>
    </row>
    <row r="8" spans="1:8" ht="15" customHeight="1" x14ac:dyDescent="0.2">
      <c r="A8" s="15" t="s">
        <v>66</v>
      </c>
      <c r="B8" s="15" t="s">
        <v>54</v>
      </c>
      <c r="C8" s="16">
        <v>8</v>
      </c>
      <c r="D8" s="17" t="s">
        <v>73</v>
      </c>
    </row>
    <row r="9" spans="1:8" ht="15" customHeight="1" x14ac:dyDescent="0.2">
      <c r="A9" s="15" t="s">
        <v>74</v>
      </c>
      <c r="B9" s="15" t="s">
        <v>75</v>
      </c>
      <c r="C9" s="16">
        <v>8</v>
      </c>
      <c r="D9" s="17" t="s">
        <v>76</v>
      </c>
      <c r="F9" s="18" t="s">
        <v>77</v>
      </c>
    </row>
    <row r="10" spans="1:8" ht="15" customHeight="1" x14ac:dyDescent="0.2">
      <c r="A10" s="15" t="s">
        <v>74</v>
      </c>
      <c r="B10" s="15" t="s">
        <v>75</v>
      </c>
      <c r="C10" s="16">
        <v>6</v>
      </c>
      <c r="D10" s="17" t="s">
        <v>78</v>
      </c>
      <c r="F10" s="16">
        <v>5</v>
      </c>
      <c r="G10" s="19" t="s">
        <v>79</v>
      </c>
      <c r="H10" s="15" t="s">
        <v>80</v>
      </c>
    </row>
    <row r="11" spans="1:8" ht="15" customHeight="1" x14ac:dyDescent="0.2">
      <c r="A11" s="15" t="s">
        <v>74</v>
      </c>
      <c r="B11" s="15" t="s">
        <v>75</v>
      </c>
      <c r="C11" s="16">
        <v>9</v>
      </c>
      <c r="D11" s="17" t="s">
        <v>81</v>
      </c>
      <c r="F11" s="16">
        <v>4</v>
      </c>
      <c r="G11" s="19" t="s">
        <v>82</v>
      </c>
      <c r="H11" s="15" t="s">
        <v>83</v>
      </c>
    </row>
    <row r="12" spans="1:8" ht="15" customHeight="1" x14ac:dyDescent="0.2">
      <c r="A12" s="15" t="s">
        <v>84</v>
      </c>
      <c r="B12" s="15" t="s">
        <v>85</v>
      </c>
      <c r="C12" s="16">
        <v>7</v>
      </c>
      <c r="D12" s="17" t="s">
        <v>86</v>
      </c>
      <c r="F12" s="16">
        <v>3</v>
      </c>
      <c r="G12" s="19" t="s">
        <v>87</v>
      </c>
      <c r="H12" s="15" t="s">
        <v>88</v>
      </c>
    </row>
    <row r="13" spans="1:8" ht="15" customHeight="1" x14ac:dyDescent="0.2">
      <c r="A13" s="15" t="s">
        <v>84</v>
      </c>
      <c r="B13" s="15" t="s">
        <v>85</v>
      </c>
      <c r="C13" s="16">
        <v>5</v>
      </c>
      <c r="D13" s="17" t="s">
        <v>89</v>
      </c>
      <c r="F13" s="16">
        <v>2</v>
      </c>
      <c r="G13" s="19" t="s">
        <v>90</v>
      </c>
      <c r="H13" s="15" t="s">
        <v>91</v>
      </c>
    </row>
    <row r="14" spans="1:8" ht="15" customHeight="1" x14ac:dyDescent="0.2">
      <c r="A14" s="15" t="s">
        <v>84</v>
      </c>
      <c r="B14" s="15" t="s">
        <v>85</v>
      </c>
      <c r="C14" s="16">
        <v>10</v>
      </c>
      <c r="D14" s="17" t="s">
        <v>92</v>
      </c>
      <c r="F14" s="16">
        <v>1</v>
      </c>
      <c r="G14" s="19" t="s">
        <v>93</v>
      </c>
      <c r="H14" s="15" t="s">
        <v>94</v>
      </c>
    </row>
    <row r="15" spans="1:8" ht="15" customHeight="1" x14ac:dyDescent="0.2">
      <c r="A15" s="15" t="s">
        <v>84</v>
      </c>
      <c r="B15" s="15" t="s">
        <v>85</v>
      </c>
      <c r="C15" s="16">
        <v>8</v>
      </c>
      <c r="D15" s="17" t="s">
        <v>95</v>
      </c>
    </row>
    <row r="16" spans="1:8" ht="15" customHeight="1" x14ac:dyDescent="0.2">
      <c r="A16" s="15" t="s">
        <v>96</v>
      </c>
      <c r="B16" s="15" t="s">
        <v>97</v>
      </c>
      <c r="C16" s="16">
        <v>6</v>
      </c>
      <c r="D16" s="17" t="s">
        <v>98</v>
      </c>
      <c r="F16" s="18"/>
    </row>
    <row r="17" spans="1:8" ht="15" customHeight="1" x14ac:dyDescent="0.2">
      <c r="A17" s="15" t="s">
        <v>96</v>
      </c>
      <c r="B17" s="15" t="s">
        <v>97</v>
      </c>
      <c r="C17" s="16">
        <v>4</v>
      </c>
      <c r="D17" s="17" t="s">
        <v>99</v>
      </c>
      <c r="F17" s="16"/>
      <c r="G17" s="19"/>
      <c r="H17" s="15"/>
    </row>
    <row r="18" spans="1:8" ht="15" customHeight="1" x14ac:dyDescent="0.2">
      <c r="A18" s="15" t="s">
        <v>96</v>
      </c>
      <c r="B18" s="15" t="s">
        <v>97</v>
      </c>
      <c r="C18" s="16">
        <v>7</v>
      </c>
      <c r="D18" s="17" t="s">
        <v>100</v>
      </c>
      <c r="F18" s="16"/>
      <c r="G18" s="19"/>
      <c r="H18" s="15"/>
    </row>
    <row r="19" spans="1:8" ht="15" customHeight="1" x14ac:dyDescent="0.2">
      <c r="A19" s="15" t="s">
        <v>101</v>
      </c>
      <c r="B19" s="15" t="s">
        <v>102</v>
      </c>
      <c r="C19" s="16">
        <v>9</v>
      </c>
      <c r="D19" s="17" t="s">
        <v>103</v>
      </c>
      <c r="F19" s="16"/>
      <c r="G19" s="19"/>
      <c r="H19" s="15"/>
    </row>
    <row r="20" spans="1:8" ht="15" customHeight="1" x14ac:dyDescent="0.2">
      <c r="A20" s="15" t="s">
        <v>101</v>
      </c>
      <c r="B20" s="15" t="s">
        <v>102</v>
      </c>
      <c r="C20" s="16">
        <v>7</v>
      </c>
      <c r="D20" s="17" t="s">
        <v>104</v>
      </c>
      <c r="F20" s="16"/>
      <c r="G20" s="19"/>
      <c r="H20" s="15"/>
    </row>
    <row r="21" spans="1:8" ht="15" customHeight="1" x14ac:dyDescent="0.2">
      <c r="A21" s="15" t="s">
        <v>101</v>
      </c>
      <c r="B21" s="15" t="s">
        <v>102</v>
      </c>
      <c r="C21" s="16">
        <v>10</v>
      </c>
      <c r="D21" s="17" t="s">
        <v>105</v>
      </c>
      <c r="F21" s="16"/>
      <c r="G21" s="19"/>
      <c r="H21" s="15"/>
    </row>
    <row r="22" spans="1:8" ht="15" customHeight="1" x14ac:dyDescent="0.2">
      <c r="A22" s="15" t="s">
        <v>106</v>
      </c>
      <c r="B22" s="15" t="s">
        <v>107</v>
      </c>
      <c r="C22" s="16">
        <v>8</v>
      </c>
      <c r="D22" s="17" t="s">
        <v>108</v>
      </c>
    </row>
    <row r="23" spans="1:8" ht="15" customHeight="1" x14ac:dyDescent="0.2">
      <c r="A23" s="15" t="s">
        <v>106</v>
      </c>
      <c r="B23" s="15" t="s">
        <v>107</v>
      </c>
      <c r="C23" s="16">
        <v>6</v>
      </c>
      <c r="D23" s="17" t="s">
        <v>109</v>
      </c>
      <c r="F23" s="18" t="s">
        <v>110</v>
      </c>
    </row>
    <row r="24" spans="1:8" ht="15" customHeight="1" x14ac:dyDescent="0.2">
      <c r="A24" s="15" t="s">
        <v>106</v>
      </c>
      <c r="B24" s="15" t="s">
        <v>107</v>
      </c>
      <c r="C24" s="16">
        <v>9</v>
      </c>
      <c r="D24" s="17" t="s">
        <v>111</v>
      </c>
      <c r="F24" s="16" t="s">
        <v>112</v>
      </c>
      <c r="G24" s="19" t="s">
        <v>113</v>
      </c>
      <c r="H24" s="15" t="s">
        <v>114</v>
      </c>
    </row>
    <row r="25" spans="1:8" ht="15" customHeight="1" x14ac:dyDescent="0.2">
      <c r="A25" s="15" t="s">
        <v>115</v>
      </c>
      <c r="B25" s="15" t="s">
        <v>116</v>
      </c>
      <c r="C25" s="16">
        <v>5</v>
      </c>
      <c r="D25" s="17" t="s">
        <v>117</v>
      </c>
      <c r="F25" s="16" t="s">
        <v>118</v>
      </c>
      <c r="G25" s="19" t="s">
        <v>119</v>
      </c>
      <c r="H25" s="15" t="s">
        <v>120</v>
      </c>
    </row>
    <row r="26" spans="1:8" ht="15" customHeight="1" x14ac:dyDescent="0.2">
      <c r="A26" s="15" t="s">
        <v>115</v>
      </c>
      <c r="B26" s="15" t="s">
        <v>116</v>
      </c>
      <c r="C26" s="16">
        <v>4</v>
      </c>
      <c r="D26" s="17" t="s">
        <v>121</v>
      </c>
      <c r="F26" s="16" t="s">
        <v>122</v>
      </c>
      <c r="G26" s="19" t="s">
        <v>123</v>
      </c>
      <c r="H26" s="15" t="s">
        <v>124</v>
      </c>
    </row>
    <row r="27" spans="1:8" ht="15" customHeight="1" x14ac:dyDescent="0.2">
      <c r="A27" s="15" t="s">
        <v>115</v>
      </c>
      <c r="B27" s="15" t="s">
        <v>116</v>
      </c>
      <c r="C27" s="16">
        <v>7</v>
      </c>
      <c r="D27" s="17" t="s">
        <v>125</v>
      </c>
      <c r="F27" s="16" t="s">
        <v>126</v>
      </c>
      <c r="G27" s="19" t="s">
        <v>127</v>
      </c>
      <c r="H27" s="15" t="s">
        <v>128</v>
      </c>
    </row>
    <row r="28" spans="1:8" ht="15" customHeight="1" x14ac:dyDescent="0.2">
      <c r="A28" s="15" t="s">
        <v>129</v>
      </c>
      <c r="B28" s="15" t="s">
        <v>130</v>
      </c>
      <c r="C28" s="16">
        <v>7</v>
      </c>
      <c r="D28" s="17" t="s">
        <v>131</v>
      </c>
      <c r="F28" s="16" t="s">
        <v>132</v>
      </c>
      <c r="G28" s="19" t="s">
        <v>133</v>
      </c>
      <c r="H28" s="15" t="s">
        <v>134</v>
      </c>
    </row>
    <row r="29" spans="1:8" ht="15" customHeight="1" x14ac:dyDescent="0.2">
      <c r="A29" s="15" t="s">
        <v>129</v>
      </c>
      <c r="B29" s="15" t="s">
        <v>130</v>
      </c>
      <c r="C29" s="16">
        <v>5</v>
      </c>
      <c r="D29" s="17" t="s">
        <v>135</v>
      </c>
      <c r="F29" s="16" t="s">
        <v>136</v>
      </c>
      <c r="G29" s="19" t="s">
        <v>137</v>
      </c>
      <c r="H29" s="15" t="s">
        <v>138</v>
      </c>
    </row>
    <row r="30" spans="1:8" ht="15" customHeight="1" x14ac:dyDescent="0.2">
      <c r="A30" s="15" t="s">
        <v>129</v>
      </c>
      <c r="B30" s="15" t="s">
        <v>130</v>
      </c>
      <c r="C30" s="16">
        <v>8</v>
      </c>
      <c r="D30" s="17" t="s">
        <v>139</v>
      </c>
      <c r="F30" s="16" t="s">
        <v>140</v>
      </c>
      <c r="G30" s="19" t="s">
        <v>137</v>
      </c>
      <c r="H30" s="15" t="s">
        <v>141</v>
      </c>
    </row>
    <row r="31" spans="1:8" ht="23.25" customHeight="1" x14ac:dyDescent="0.2">
      <c r="A31" s="15" t="s">
        <v>129</v>
      </c>
      <c r="B31" s="15" t="s">
        <v>130</v>
      </c>
      <c r="C31" s="16">
        <v>9</v>
      </c>
      <c r="D31" s="17" t="s">
        <v>142</v>
      </c>
      <c r="F31" s="20"/>
      <c r="G31" s="15"/>
      <c r="H31" s="15"/>
    </row>
    <row r="32" spans="1:8" ht="15" customHeight="1" x14ac:dyDescent="0.2">
      <c r="A32" s="15" t="s">
        <v>143</v>
      </c>
      <c r="B32" s="15" t="s">
        <v>97</v>
      </c>
      <c r="C32" s="16">
        <v>8</v>
      </c>
      <c r="D32" s="17" t="s">
        <v>144</v>
      </c>
      <c r="F32" s="20"/>
      <c r="G32" s="15"/>
      <c r="H32" s="15"/>
    </row>
    <row r="33" spans="1:8" ht="15" customHeight="1" x14ac:dyDescent="0.2">
      <c r="A33" s="15" t="s">
        <v>143</v>
      </c>
      <c r="B33" s="15" t="s">
        <v>97</v>
      </c>
      <c r="C33" s="16">
        <v>6</v>
      </c>
      <c r="D33" s="17" t="s">
        <v>145</v>
      </c>
      <c r="F33" s="20"/>
      <c r="G33" s="15"/>
      <c r="H33" s="15"/>
    </row>
    <row r="34" spans="1:8" ht="15" customHeight="1" x14ac:dyDescent="0.2">
      <c r="A34" s="15" t="s">
        <v>143</v>
      </c>
      <c r="B34" s="15" t="s">
        <v>97</v>
      </c>
      <c r="C34" s="16">
        <v>10</v>
      </c>
      <c r="D34" s="17" t="s">
        <v>146</v>
      </c>
      <c r="F34" s="20"/>
      <c r="G34" s="15"/>
      <c r="H34" s="15"/>
    </row>
    <row r="35" spans="1:8" ht="15" customHeight="1" x14ac:dyDescent="0.2">
      <c r="A35" s="15" t="s">
        <v>147</v>
      </c>
      <c r="B35" s="15" t="s">
        <v>148</v>
      </c>
      <c r="C35" s="16">
        <v>7</v>
      </c>
      <c r="D35" s="17" t="s">
        <v>149</v>
      </c>
      <c r="F35" s="20"/>
      <c r="G35" s="15"/>
      <c r="H35" s="15"/>
    </row>
    <row r="36" spans="1:8" ht="15" customHeight="1" x14ac:dyDescent="0.2">
      <c r="A36" s="15" t="s">
        <v>147</v>
      </c>
      <c r="B36" s="15" t="s">
        <v>148</v>
      </c>
      <c r="C36" s="16">
        <v>5</v>
      </c>
      <c r="D36" s="17" t="s">
        <v>150</v>
      </c>
    </row>
    <row r="37" spans="1:8" ht="15" customHeight="1" x14ac:dyDescent="0.2">
      <c r="A37" s="15" t="s">
        <v>147</v>
      </c>
      <c r="B37" s="15" t="s">
        <v>148</v>
      </c>
      <c r="C37" s="16">
        <v>9</v>
      </c>
      <c r="D37" s="17" t="s">
        <v>151</v>
      </c>
      <c r="F37" s="18"/>
    </row>
    <row r="38" spans="1:8" ht="15" customHeight="1" x14ac:dyDescent="0.2">
      <c r="F38" s="19"/>
      <c r="G38" s="16"/>
      <c r="H38" s="15"/>
    </row>
    <row r="39" spans="1:8" ht="15" customHeight="1" x14ac:dyDescent="0.2">
      <c r="F39" s="19"/>
      <c r="G39" s="16"/>
      <c r="H39" s="15"/>
    </row>
    <row r="40" spans="1:8" ht="15" customHeight="1" x14ac:dyDescent="0.2">
      <c r="F40" s="19"/>
      <c r="G40" s="16"/>
      <c r="H40" s="15"/>
    </row>
    <row r="41" spans="1:8" ht="15" customHeight="1" x14ac:dyDescent="0.2">
      <c r="F41" s="19"/>
      <c r="G41" s="16"/>
      <c r="H41" s="15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74C3C"/>
  </sheetPr>
  <dimension ref="A1:I38"/>
  <sheetViews>
    <sheetView zoomScaleNormal="100" workbookViewId="0">
      <selection sqref="A1:H1"/>
    </sheetView>
  </sheetViews>
  <sheetFormatPr baseColWidth="10" defaultColWidth="8.6640625" defaultRowHeight="15" customHeight="1" x14ac:dyDescent="0.2"/>
  <cols>
    <col min="1" max="1" width="30" customWidth="1"/>
    <col min="2" max="2" width="5" customWidth="1"/>
    <col min="3" max="3" width="18" customWidth="1"/>
    <col min="4" max="4" width="5" customWidth="1"/>
    <col min="6" max="6" width="5" customWidth="1"/>
    <col min="7" max="7" width="30" customWidth="1"/>
    <col min="8" max="9" width="14" customWidth="1"/>
  </cols>
  <sheetData>
    <row r="1" spans="1:9" ht="34.5" customHeight="1" x14ac:dyDescent="0.2">
      <c r="A1" s="52" t="s">
        <v>152</v>
      </c>
      <c r="B1" s="48"/>
      <c r="C1" s="48"/>
      <c r="D1" s="48"/>
      <c r="E1" s="48"/>
      <c r="F1" s="48"/>
      <c r="G1" s="48"/>
      <c r="H1" s="48"/>
    </row>
    <row r="3" spans="1:9" ht="15" customHeight="1" x14ac:dyDescent="0.2">
      <c r="A3" s="51" t="s">
        <v>153</v>
      </c>
      <c r="B3" s="48"/>
      <c r="C3" s="48"/>
      <c r="D3" s="48"/>
      <c r="F3" s="51" t="s">
        <v>154</v>
      </c>
      <c r="G3" s="48"/>
      <c r="H3" s="48"/>
      <c r="I3" s="48"/>
    </row>
    <row r="4" spans="1:9" ht="15" customHeight="1" x14ac:dyDescent="0.2">
      <c r="A4" s="18" t="s">
        <v>155</v>
      </c>
      <c r="C4" s="21">
        <f>COUNTA('Registro Proyectos'!B4:B53)</f>
        <v>0</v>
      </c>
      <c r="F4" s="2" t="s">
        <v>156</v>
      </c>
      <c r="G4" s="2" t="s">
        <v>39</v>
      </c>
      <c r="H4" s="2" t="s">
        <v>157</v>
      </c>
      <c r="I4" s="2" t="s">
        <v>158</v>
      </c>
    </row>
    <row r="5" spans="1:9" ht="15" customHeight="1" x14ac:dyDescent="0.2">
      <c r="A5" s="18" t="s">
        <v>159</v>
      </c>
      <c r="C5" s="22">
        <f>SUM('Registro Proyectos'!D4:D53)</f>
        <v>0</v>
      </c>
      <c r="F5" s="23">
        <v>1</v>
      </c>
      <c r="G5" s="24" t="str">
        <f>IFERROR(INDEX('Registro Proyectos'!B$4:B$53,MATCH(LARGE('Registro Proyectos'!AC$4:AC$53,1),'Registro Proyectos'!AC$4:AC$53,0)),"")</f>
        <v/>
      </c>
      <c r="H5" s="25" t="str">
        <f>IFERROR(LARGE('Registro Proyectos'!AC$4:AC$53,1),"")</f>
        <v/>
      </c>
      <c r="I5" s="23" t="str">
        <f>IF(H5="","",IF(H5&gt;=85,"MUY ALTA",IF(H5&gt;=70,"ALTA",IF(H5&gt;=50,"MEDIA","BAJA"))))</f>
        <v/>
      </c>
    </row>
    <row r="6" spans="1:9" ht="15" customHeight="1" x14ac:dyDescent="0.2">
      <c r="A6" s="18" t="s">
        <v>160</v>
      </c>
      <c r="C6" s="26">
        <f>SUM('Registro Proyectos'!E4:E53)</f>
        <v>0</v>
      </c>
      <c r="F6" s="23">
        <v>2</v>
      </c>
      <c r="G6" s="24" t="str">
        <f>IFERROR(INDEX('Registro Proyectos'!B$4:B$53,MATCH(LARGE('Registro Proyectos'!AC$4:AC$53,2),'Registro Proyectos'!AC$4:AC$53,0)),"")</f>
        <v/>
      </c>
      <c r="H6" s="25" t="str">
        <f>IFERROR(LARGE('Registro Proyectos'!AC$4:AC$53,2),"")</f>
        <v/>
      </c>
      <c r="I6" s="23" t="str">
        <f>IF(H6="","",IF(H6&gt;=85,"MUY ALTA",IF(H6&gt;=70,"ALTA",IF(H6&gt;=50,"MEDIA","BAJA"))))</f>
        <v/>
      </c>
    </row>
    <row r="7" spans="1:9" ht="15" customHeight="1" x14ac:dyDescent="0.2">
      <c r="A7" s="18" t="s">
        <v>161</v>
      </c>
      <c r="C7" s="27" t="str">
        <f>IFERROR(AVERAGE('Registro Proyectos'!AC4:AC53),"")</f>
        <v/>
      </c>
      <c r="F7" s="23">
        <v>3</v>
      </c>
      <c r="G7" s="24" t="str">
        <f>IFERROR(INDEX('Registro Proyectos'!B$4:B$53,MATCH(LARGE('Registro Proyectos'!AC$4:AC$53,3),'Registro Proyectos'!AC$4:AC$53,0)),"")</f>
        <v/>
      </c>
      <c r="H7" s="25" t="str">
        <f>IFERROR(LARGE('Registro Proyectos'!AC$4:AC$53,3),"")</f>
        <v/>
      </c>
      <c r="I7" s="23" t="str">
        <f>IF(H7="","",IF(H7&gt;=85,"MUY ALTA",IF(H7&gt;=70,"ALTA",IF(H7&gt;=50,"MEDIA","BAJA"))))</f>
        <v/>
      </c>
    </row>
    <row r="8" spans="1:9" ht="15" customHeight="1" x14ac:dyDescent="0.2">
      <c r="A8" s="18" t="s">
        <v>162</v>
      </c>
      <c r="C8" s="21">
        <f>COUNTIF('Registro Proyectos'!I4:I53,"SI")</f>
        <v>0</v>
      </c>
      <c r="F8" s="23">
        <v>4</v>
      </c>
      <c r="G8" s="24" t="str">
        <f>IFERROR(INDEX('Registro Proyectos'!B$4:B$53,MATCH(LARGE('Registro Proyectos'!AC$4:AC$53,4),'Registro Proyectos'!AC$4:AC$53,0)),"")</f>
        <v/>
      </c>
      <c r="H8" s="25" t="str">
        <f>IFERROR(LARGE('Registro Proyectos'!AC$4:AC$53,4),"")</f>
        <v/>
      </c>
      <c r="I8" s="23" t="str">
        <f>IF(H8="","",IF(H8&gt;=85,"MUY ALTA",IF(H8&gt;=70,"ALTA",IF(H8&gt;=50,"MEDIA","BAJA"))))</f>
        <v/>
      </c>
    </row>
    <row r="9" spans="1:9" ht="15" customHeight="1" x14ac:dyDescent="0.2">
      <c r="F9" s="23">
        <v>5</v>
      </c>
      <c r="G9" s="24" t="str">
        <f>IFERROR(INDEX('Registro Proyectos'!B$4:B$53,MATCH(LARGE('Registro Proyectos'!AC$4:AC$53,5),'Registro Proyectos'!AC$4:AC$53,0)),"")</f>
        <v/>
      </c>
      <c r="H9" s="25" t="str">
        <f>IFERROR(LARGE('Registro Proyectos'!AC$4:AC$53,5),"")</f>
        <v/>
      </c>
      <c r="I9" s="23" t="str">
        <f>IF(H9="","",IF(H9&gt;=85,"MUY ALTA",IF(H9&gt;=70,"ALTA",IF(H9&gt;=50,"MEDIA","BAJA"))))</f>
        <v/>
      </c>
    </row>
    <row r="10" spans="1:9" ht="15" customHeight="1" x14ac:dyDescent="0.2">
      <c r="A10" s="51" t="s">
        <v>163</v>
      </c>
      <c r="B10" s="48"/>
      <c r="C10" s="48"/>
      <c r="D10" s="48"/>
    </row>
    <row r="11" spans="1:9" ht="15" customHeight="1" x14ac:dyDescent="0.2">
      <c r="A11" s="15" t="s">
        <v>164</v>
      </c>
      <c r="C11" s="28">
        <f>COUNTIF('Registro Proyectos'!AD4:AD53,"MUY ALTA")</f>
        <v>0</v>
      </c>
    </row>
    <row r="12" spans="1:9" ht="15" customHeight="1" x14ac:dyDescent="0.2">
      <c r="A12" s="15" t="s">
        <v>165</v>
      </c>
      <c r="C12" s="28">
        <f>COUNTIF('Registro Proyectos'!AD4:AD53,"ALTA")</f>
        <v>0</v>
      </c>
    </row>
    <row r="13" spans="1:9" ht="15" customHeight="1" x14ac:dyDescent="0.2">
      <c r="A13" s="15" t="s">
        <v>166</v>
      </c>
      <c r="C13" s="28">
        <f>COUNTIF('Registro Proyectos'!AD4:AD53,"MEDIA")</f>
        <v>0</v>
      </c>
    </row>
    <row r="14" spans="1:9" ht="15" customHeight="1" x14ac:dyDescent="0.2">
      <c r="A14" s="15" t="s">
        <v>167</v>
      </c>
      <c r="C14" s="28">
        <f>COUNTIF('Registro Proyectos'!AD4:AD53,"BAJA")</f>
        <v>0</v>
      </c>
    </row>
    <row r="15" spans="1:9" ht="15" customHeight="1" x14ac:dyDescent="0.2">
      <c r="A15" s="15" t="s">
        <v>113</v>
      </c>
      <c r="C15" s="28">
        <f>COUNTIF('Registro Proyectos'!AD4:AD53,"RECHAZADO")</f>
        <v>0</v>
      </c>
    </row>
    <row r="17" spans="1:9" ht="15" customHeight="1" x14ac:dyDescent="0.2">
      <c r="A17" s="51" t="s">
        <v>168</v>
      </c>
      <c r="B17" s="48"/>
      <c r="C17" s="48"/>
      <c r="D17" s="48"/>
    </row>
    <row r="18" spans="1:9" ht="15" customHeight="1" x14ac:dyDescent="0.2">
      <c r="A18" s="15" t="s">
        <v>169</v>
      </c>
      <c r="C18" s="28">
        <f>COUNTIF('Registro Proyectos'!AE4:AE53,"Pendiente")</f>
        <v>0</v>
      </c>
    </row>
    <row r="19" spans="1:9" ht="15" customHeight="1" x14ac:dyDescent="0.2">
      <c r="A19" s="15" t="s">
        <v>170</v>
      </c>
      <c r="C19" s="28">
        <f>COUNTIF('Registro Proyectos'!AE4:AE53,"Presentado")</f>
        <v>0</v>
      </c>
    </row>
    <row r="20" spans="1:9" ht="15" customHeight="1" x14ac:dyDescent="0.2">
      <c r="A20" s="15" t="s">
        <v>171</v>
      </c>
      <c r="C20" s="28">
        <f>COUNTIF('Registro Proyectos'!AE4:AE53,"Aprobado")</f>
        <v>0</v>
      </c>
    </row>
    <row r="21" spans="1:9" ht="15" customHeight="1" x14ac:dyDescent="0.2">
      <c r="A21" s="15" t="s">
        <v>172</v>
      </c>
      <c r="C21" s="28">
        <f>COUNTIF('Registro Proyectos'!AE4:AE53,"Rechazado")</f>
        <v>0</v>
      </c>
    </row>
    <row r="22" spans="1:9" ht="15" customHeight="1" x14ac:dyDescent="0.2">
      <c r="A22" s="15" t="s">
        <v>173</v>
      </c>
      <c r="C22" s="28">
        <f>COUNTIF('Registro Proyectos'!AE4:AE53,"En Revision")</f>
        <v>0</v>
      </c>
    </row>
    <row r="24" spans="1:9" ht="15" customHeight="1" x14ac:dyDescent="0.2">
      <c r="A24" s="51" t="s">
        <v>174</v>
      </c>
      <c r="B24" s="48"/>
      <c r="C24" s="48"/>
      <c r="D24" s="48"/>
    </row>
    <row r="25" spans="1:9" ht="15" customHeight="1" x14ac:dyDescent="0.2">
      <c r="A25" s="15" t="s">
        <v>175</v>
      </c>
      <c r="C25" s="29" t="str">
        <f>IFERROR(AVERAGE('Registro Proyectos'!M4:M53),"")</f>
        <v/>
      </c>
    </row>
    <row r="26" spans="1:9" ht="15" customHeight="1" x14ac:dyDescent="0.2">
      <c r="A26" s="15" t="s">
        <v>176</v>
      </c>
      <c r="C26" s="29" t="str">
        <f>IFERROR(AVERAGE('Registro Proyectos'!S4:S53),"")</f>
        <v/>
      </c>
    </row>
    <row r="27" spans="1:9" ht="15" customHeight="1" x14ac:dyDescent="0.2">
      <c r="A27" s="15" t="s">
        <v>177</v>
      </c>
      <c r="C27" s="29" t="str">
        <f>IFERROR(AVERAGE('Evaluacion Detallada'!G3:G52),"")</f>
        <v/>
      </c>
    </row>
    <row r="28" spans="1:9" ht="15" customHeight="1" x14ac:dyDescent="0.2">
      <c r="A28" s="15" t="s">
        <v>178</v>
      </c>
      <c r="C28" s="29" t="str">
        <f>IFERROR(AVERAGE('Registro Proyectos'!AB4:AB53),"")</f>
        <v/>
      </c>
    </row>
    <row r="30" spans="1:9" ht="15" customHeight="1" x14ac:dyDescent="0.2">
      <c r="A30" s="51" t="s">
        <v>179</v>
      </c>
      <c r="B30" s="48"/>
      <c r="C30" s="48"/>
      <c r="D30" s="48"/>
      <c r="E30" s="48"/>
      <c r="F30" s="48"/>
      <c r="G30" s="48"/>
      <c r="H30" s="48"/>
      <c r="I30" s="48"/>
    </row>
    <row r="31" spans="1:9" ht="15" customHeight="1" x14ac:dyDescent="0.2">
      <c r="A31" s="53" t="s">
        <v>180</v>
      </c>
      <c r="B31" s="48"/>
      <c r="C31" s="48"/>
      <c r="D31" s="48"/>
      <c r="E31" s="48"/>
      <c r="F31" s="48"/>
      <c r="G31" s="48"/>
      <c r="H31" s="48"/>
      <c r="I31" s="48"/>
    </row>
    <row r="32" spans="1:9" ht="15" customHeight="1" x14ac:dyDescent="0.2">
      <c r="A32" s="48"/>
      <c r="B32" s="48"/>
      <c r="C32" s="48"/>
      <c r="D32" s="48"/>
      <c r="E32" s="48"/>
      <c r="F32" s="48"/>
      <c r="G32" s="48"/>
      <c r="H32" s="48"/>
      <c r="I32" s="48"/>
    </row>
    <row r="33" spans="1:9" ht="15" customHeight="1" x14ac:dyDescent="0.2">
      <c r="A33" s="48"/>
      <c r="B33" s="48"/>
      <c r="C33" s="48"/>
      <c r="D33" s="48"/>
      <c r="E33" s="48"/>
      <c r="F33" s="48"/>
      <c r="G33" s="48"/>
      <c r="H33" s="48"/>
      <c r="I33" s="48"/>
    </row>
    <row r="34" spans="1:9" ht="15" customHeight="1" x14ac:dyDescent="0.2">
      <c r="A34" s="48"/>
      <c r="B34" s="48"/>
      <c r="C34" s="48"/>
      <c r="D34" s="48"/>
      <c r="E34" s="48"/>
      <c r="F34" s="48"/>
      <c r="G34" s="48"/>
      <c r="H34" s="48"/>
      <c r="I34" s="48"/>
    </row>
    <row r="36" spans="1:9" x14ac:dyDescent="0.2">
      <c r="A36" s="33" t="s">
        <v>181</v>
      </c>
    </row>
    <row r="37" spans="1:9" x14ac:dyDescent="0.2">
      <c r="A37" t="s">
        <v>162</v>
      </c>
      <c r="C37">
        <f>COUNTIF('Registro Proyectos'!I4:I53,"SI")</f>
        <v>0</v>
      </c>
    </row>
    <row r="38" spans="1:9" x14ac:dyDescent="0.2">
      <c r="A38" t="s">
        <v>182</v>
      </c>
      <c r="C38" t="str">
        <f>IFERROR(AVERAGE('Evaluacion Detallada'!G3:G52),"")</f>
        <v/>
      </c>
    </row>
  </sheetData>
  <mergeCells count="8">
    <mergeCell ref="A31:I34"/>
    <mergeCell ref="A30:I30"/>
    <mergeCell ref="A17:D17"/>
    <mergeCell ref="F3:I3"/>
    <mergeCell ref="A3:D3"/>
    <mergeCell ref="A24:D24"/>
    <mergeCell ref="A1:H1"/>
    <mergeCell ref="A10:D10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8E44AD"/>
  </sheetPr>
  <dimension ref="A1:F57"/>
  <sheetViews>
    <sheetView zoomScaleNormal="100" workbookViewId="0">
      <selection sqref="A1:F1"/>
    </sheetView>
  </sheetViews>
  <sheetFormatPr baseColWidth="10" defaultColWidth="8.6640625" defaultRowHeight="15" customHeight="1" x14ac:dyDescent="0.2"/>
  <cols>
    <col min="1" max="1" width="80" customWidth="1"/>
  </cols>
  <sheetData>
    <row r="1" spans="1:6" ht="34.5" customHeight="1" x14ac:dyDescent="0.2">
      <c r="A1" s="54" t="s">
        <v>183</v>
      </c>
      <c r="B1" s="48"/>
      <c r="C1" s="48"/>
      <c r="D1" s="48"/>
      <c r="E1" s="48"/>
      <c r="F1" s="48"/>
    </row>
    <row r="3" spans="1:6" ht="15" customHeight="1" x14ac:dyDescent="0.2">
      <c r="A3" s="30" t="s">
        <v>184</v>
      </c>
    </row>
    <row r="4" spans="1:6" ht="15" customHeight="1" x14ac:dyDescent="0.2">
      <c r="A4" s="15" t="s">
        <v>185</v>
      </c>
    </row>
    <row r="5" spans="1:6" ht="15" customHeight="1" x14ac:dyDescent="0.2">
      <c r="A5" s="15" t="s">
        <v>186</v>
      </c>
    </row>
    <row r="6" spans="1:6" ht="15" customHeight="1" x14ac:dyDescent="0.2">
      <c r="A6" s="15" t="s">
        <v>187</v>
      </c>
    </row>
    <row r="7" spans="1:6" ht="15" customHeight="1" x14ac:dyDescent="0.2">
      <c r="A7" s="15" t="s">
        <v>188</v>
      </c>
    </row>
    <row r="9" spans="1:6" ht="15" customHeight="1" x14ac:dyDescent="0.2">
      <c r="A9" s="30" t="s">
        <v>189</v>
      </c>
    </row>
    <row r="10" spans="1:6" ht="15" customHeight="1" x14ac:dyDescent="0.2">
      <c r="A10" s="15" t="s">
        <v>190</v>
      </c>
    </row>
    <row r="11" spans="1:6" ht="15" customHeight="1" x14ac:dyDescent="0.2">
      <c r="A11" s="15" t="s">
        <v>191</v>
      </c>
    </row>
    <row r="12" spans="1:6" ht="15" customHeight="1" x14ac:dyDescent="0.2">
      <c r="A12" s="15" t="s">
        <v>192</v>
      </c>
    </row>
    <row r="13" spans="1:6" ht="15" customHeight="1" x14ac:dyDescent="0.2">
      <c r="A13" s="15" t="s">
        <v>193</v>
      </c>
    </row>
    <row r="14" spans="1:6" ht="15" customHeight="1" x14ac:dyDescent="0.2">
      <c r="A14" s="15" t="s">
        <v>194</v>
      </c>
    </row>
    <row r="15" spans="1:6" ht="15" customHeight="1" x14ac:dyDescent="0.2">
      <c r="A15" s="15" t="s">
        <v>195</v>
      </c>
    </row>
    <row r="17" spans="1:1" ht="15" customHeight="1" x14ac:dyDescent="0.2">
      <c r="A17" s="30" t="s">
        <v>196</v>
      </c>
    </row>
    <row r="18" spans="1:1" ht="15" customHeight="1" x14ac:dyDescent="0.2">
      <c r="A18" s="15" t="s">
        <v>197</v>
      </c>
    </row>
    <row r="19" spans="1:1" ht="15" customHeight="1" x14ac:dyDescent="0.2">
      <c r="A19" s="15" t="s">
        <v>198</v>
      </c>
    </row>
    <row r="20" spans="1:1" ht="15" customHeight="1" x14ac:dyDescent="0.2">
      <c r="A20" s="15" t="s">
        <v>199</v>
      </c>
    </row>
    <row r="21" spans="1:1" ht="15" customHeight="1" x14ac:dyDescent="0.2">
      <c r="A21" s="15" t="s">
        <v>200</v>
      </c>
    </row>
    <row r="22" spans="1:1" ht="15" customHeight="1" x14ac:dyDescent="0.2">
      <c r="A22" s="15" t="s">
        <v>201</v>
      </c>
    </row>
    <row r="24" spans="1:1" ht="15" customHeight="1" x14ac:dyDescent="0.2">
      <c r="A24" s="30" t="s">
        <v>202</v>
      </c>
    </row>
    <row r="25" spans="1:1" ht="15" customHeight="1" x14ac:dyDescent="0.2">
      <c r="A25" s="15" t="s">
        <v>203</v>
      </c>
    </row>
    <row r="26" spans="1:1" ht="15" customHeight="1" x14ac:dyDescent="0.2">
      <c r="A26" s="15" t="s">
        <v>204</v>
      </c>
    </row>
    <row r="28" spans="1:1" ht="15" customHeight="1" x14ac:dyDescent="0.2">
      <c r="A28" s="30" t="s">
        <v>205</v>
      </c>
    </row>
    <row r="29" spans="1:1" ht="15" customHeight="1" x14ac:dyDescent="0.2">
      <c r="A29" s="15" t="s">
        <v>206</v>
      </c>
    </row>
    <row r="30" spans="1:1" ht="15" customHeight="1" x14ac:dyDescent="0.2">
      <c r="A30" s="15" t="s">
        <v>207</v>
      </c>
    </row>
    <row r="31" spans="1:1" ht="15" customHeight="1" x14ac:dyDescent="0.2">
      <c r="A31" s="15" t="s">
        <v>208</v>
      </c>
    </row>
    <row r="33" spans="1:1" ht="15" customHeight="1" x14ac:dyDescent="0.2">
      <c r="A33" s="30" t="s">
        <v>209</v>
      </c>
    </row>
    <row r="34" spans="1:1" ht="15" customHeight="1" x14ac:dyDescent="0.2">
      <c r="A34" s="15" t="s">
        <v>210</v>
      </c>
    </row>
    <row r="35" spans="1:1" ht="15" customHeight="1" x14ac:dyDescent="0.2">
      <c r="A35" s="15" t="s">
        <v>211</v>
      </c>
    </row>
    <row r="36" spans="1:1" ht="15" customHeight="1" x14ac:dyDescent="0.2">
      <c r="A36" s="15" t="s">
        <v>212</v>
      </c>
    </row>
    <row r="37" spans="1:1" ht="15" customHeight="1" x14ac:dyDescent="0.2">
      <c r="A37" s="15" t="s">
        <v>213</v>
      </c>
    </row>
    <row r="40" spans="1:1" ht="15" customHeight="1" x14ac:dyDescent="0.2">
      <c r="A40" s="34" t="s">
        <v>214</v>
      </c>
    </row>
    <row r="41" spans="1:1" ht="15" customHeight="1" x14ac:dyDescent="0.2">
      <c r="A41" s="15" t="s">
        <v>215</v>
      </c>
    </row>
    <row r="42" spans="1:1" ht="15" customHeight="1" x14ac:dyDescent="0.2">
      <c r="A42" s="15" t="s">
        <v>216</v>
      </c>
    </row>
    <row r="43" spans="1:1" ht="15" customHeight="1" x14ac:dyDescent="0.2">
      <c r="A43" s="15" t="s">
        <v>217</v>
      </c>
    </row>
    <row r="44" spans="1:1" ht="15" customHeight="1" x14ac:dyDescent="0.2">
      <c r="A44" s="15" t="s">
        <v>218</v>
      </c>
    </row>
    <row r="45" spans="1:1" ht="15" customHeight="1" x14ac:dyDescent="0.2">
      <c r="A45" s="15" t="s">
        <v>219</v>
      </c>
    </row>
    <row r="46" spans="1:1" x14ac:dyDescent="0.2">
      <c r="A46" s="33" t="s">
        <v>220</v>
      </c>
    </row>
    <row r="47" spans="1:1" x14ac:dyDescent="0.2">
      <c r="A47" t="s">
        <v>221</v>
      </c>
    </row>
    <row r="48" spans="1:1" x14ac:dyDescent="0.2">
      <c r="A48" t="s">
        <v>222</v>
      </c>
    </row>
    <row r="49" spans="1:1" x14ac:dyDescent="0.2">
      <c r="A49" t="s">
        <v>223</v>
      </c>
    </row>
    <row r="50" spans="1:1" x14ac:dyDescent="0.2">
      <c r="A50" t="s">
        <v>224</v>
      </c>
    </row>
    <row r="51" spans="1:1" x14ac:dyDescent="0.2">
      <c r="A51" t="s">
        <v>225</v>
      </c>
    </row>
    <row r="53" spans="1:1" x14ac:dyDescent="0.2">
      <c r="A53" s="35" t="s">
        <v>226</v>
      </c>
    </row>
    <row r="54" spans="1:1" x14ac:dyDescent="0.2">
      <c r="A54" t="s">
        <v>227</v>
      </c>
    </row>
    <row r="55" spans="1:1" x14ac:dyDescent="0.2">
      <c r="A55" t="s">
        <v>228</v>
      </c>
    </row>
    <row r="56" spans="1:1" x14ac:dyDescent="0.2">
      <c r="A56" t="s">
        <v>229</v>
      </c>
    </row>
    <row r="57" spans="1:1" x14ac:dyDescent="0.2">
      <c r="A57" t="s">
        <v>230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76"/>
  <sheetViews>
    <sheetView workbookViewId="0">
      <selection sqref="A1:F1"/>
    </sheetView>
  </sheetViews>
  <sheetFormatPr baseColWidth="10" defaultColWidth="8.83203125" defaultRowHeight="15" x14ac:dyDescent="0.2"/>
  <cols>
    <col min="1" max="1" width="70" customWidth="1"/>
    <col min="2" max="2" width="60" customWidth="1"/>
    <col min="3" max="3" width="28" customWidth="1"/>
    <col min="4" max="5" width="15" customWidth="1"/>
  </cols>
  <sheetData>
    <row r="1" spans="1:6" ht="19" x14ac:dyDescent="0.25">
      <c r="A1" s="56" t="s">
        <v>231</v>
      </c>
      <c r="B1" s="48"/>
      <c r="C1" s="48"/>
      <c r="D1" s="48"/>
      <c r="E1" s="48"/>
      <c r="F1" s="48"/>
    </row>
    <row r="2" spans="1:6" x14ac:dyDescent="0.2">
      <c r="A2" s="55" t="s">
        <v>232</v>
      </c>
      <c r="B2" s="48"/>
      <c r="C2" s="48"/>
      <c r="D2" s="48"/>
      <c r="E2" s="48"/>
      <c r="F2" s="48"/>
    </row>
    <row r="4" spans="1:6" ht="16" x14ac:dyDescent="0.2">
      <c r="A4" s="36" t="s">
        <v>233</v>
      </c>
    </row>
    <row r="5" spans="1:6" x14ac:dyDescent="0.2">
      <c r="A5" t="s">
        <v>234</v>
      </c>
    </row>
    <row r="6" spans="1:6" x14ac:dyDescent="0.2">
      <c r="A6" t="s">
        <v>235</v>
      </c>
    </row>
    <row r="8" spans="1:6" ht="16" x14ac:dyDescent="0.2">
      <c r="A8" s="37" t="s">
        <v>236</v>
      </c>
    </row>
    <row r="9" spans="1:6" x14ac:dyDescent="0.2">
      <c r="A9" t="s">
        <v>237</v>
      </c>
    </row>
    <row r="11" spans="1:6" x14ac:dyDescent="0.2">
      <c r="A11" s="38" t="s">
        <v>238</v>
      </c>
      <c r="B11" s="38" t="s">
        <v>239</v>
      </c>
      <c r="C11" s="38" t="s">
        <v>240</v>
      </c>
      <c r="D11" s="38" t="s">
        <v>241</v>
      </c>
      <c r="E11" s="38" t="s">
        <v>242</v>
      </c>
    </row>
    <row r="12" spans="1:6" x14ac:dyDescent="0.2">
      <c r="A12" s="39">
        <v>1</v>
      </c>
      <c r="B12" s="40" t="s">
        <v>243</v>
      </c>
      <c r="C12" s="40" t="s">
        <v>244</v>
      </c>
      <c r="D12" s="39">
        <v>100</v>
      </c>
      <c r="E12" s="40" t="s">
        <v>245</v>
      </c>
    </row>
    <row r="13" spans="1:6" x14ac:dyDescent="0.2">
      <c r="A13" s="39">
        <v>2</v>
      </c>
      <c r="B13" s="40" t="s">
        <v>243</v>
      </c>
      <c r="C13" s="40" t="s">
        <v>246</v>
      </c>
      <c r="D13" s="39">
        <v>90</v>
      </c>
      <c r="E13" s="40" t="s">
        <v>58</v>
      </c>
    </row>
    <row r="14" spans="1:6" x14ac:dyDescent="0.2">
      <c r="A14" s="39">
        <v>3</v>
      </c>
      <c r="B14" s="40" t="s">
        <v>247</v>
      </c>
      <c r="C14" s="40" t="s">
        <v>244</v>
      </c>
      <c r="D14" s="39">
        <v>80</v>
      </c>
      <c r="E14" s="40" t="s">
        <v>61</v>
      </c>
    </row>
    <row r="15" spans="1:6" x14ac:dyDescent="0.2">
      <c r="A15" s="39">
        <v>4</v>
      </c>
      <c r="B15" s="40" t="s">
        <v>247</v>
      </c>
      <c r="C15" s="40" t="s">
        <v>246</v>
      </c>
      <c r="D15" s="39">
        <v>70</v>
      </c>
      <c r="E15" s="40" t="s">
        <v>248</v>
      </c>
    </row>
    <row r="16" spans="1:6" x14ac:dyDescent="0.2">
      <c r="A16" s="41">
        <v>5</v>
      </c>
      <c r="B16" s="42" t="s">
        <v>249</v>
      </c>
      <c r="C16" s="42" t="s">
        <v>244</v>
      </c>
      <c r="D16" s="41">
        <v>55</v>
      </c>
      <c r="E16" s="42" t="s">
        <v>64</v>
      </c>
    </row>
    <row r="17" spans="1:5" x14ac:dyDescent="0.2">
      <c r="A17" s="41">
        <v>6</v>
      </c>
      <c r="B17" s="42" t="s">
        <v>249</v>
      </c>
      <c r="C17" s="42" t="s">
        <v>246</v>
      </c>
      <c r="D17" s="41">
        <v>45</v>
      </c>
      <c r="E17" s="42" t="s">
        <v>250</v>
      </c>
    </row>
    <row r="18" spans="1:5" x14ac:dyDescent="0.2">
      <c r="A18" s="43">
        <v>7</v>
      </c>
      <c r="B18" s="44" t="s">
        <v>251</v>
      </c>
      <c r="C18" s="44" t="s">
        <v>244</v>
      </c>
      <c r="D18" s="43">
        <v>35</v>
      </c>
      <c r="E18" s="44" t="s">
        <v>68</v>
      </c>
    </row>
    <row r="19" spans="1:5" x14ac:dyDescent="0.2">
      <c r="A19" s="43">
        <v>8</v>
      </c>
      <c r="B19" s="44" t="s">
        <v>251</v>
      </c>
      <c r="C19" s="44" t="s">
        <v>246</v>
      </c>
      <c r="D19" s="43">
        <v>25</v>
      </c>
      <c r="E19" s="44" t="s">
        <v>252</v>
      </c>
    </row>
    <row r="22" spans="1:5" ht="16" x14ac:dyDescent="0.2">
      <c r="A22" s="37" t="s">
        <v>253</v>
      </c>
    </row>
    <row r="23" spans="1:5" x14ac:dyDescent="0.2">
      <c r="A23" t="s">
        <v>254</v>
      </c>
    </row>
    <row r="24" spans="1:5" x14ac:dyDescent="0.2">
      <c r="A24" t="s">
        <v>255</v>
      </c>
    </row>
    <row r="25" spans="1:5" x14ac:dyDescent="0.2">
      <c r="A25" t="s">
        <v>256</v>
      </c>
    </row>
    <row r="26" spans="1:5" x14ac:dyDescent="0.2">
      <c r="A26" t="s">
        <v>257</v>
      </c>
    </row>
    <row r="27" spans="1:5" x14ac:dyDescent="0.2">
      <c r="A27" t="s">
        <v>258</v>
      </c>
    </row>
    <row r="28" spans="1:5" x14ac:dyDescent="0.2">
      <c r="A28" t="s">
        <v>259</v>
      </c>
    </row>
    <row r="30" spans="1:5" ht="16" x14ac:dyDescent="0.2">
      <c r="A30" s="37" t="s">
        <v>260</v>
      </c>
    </row>
    <row r="31" spans="1:5" x14ac:dyDescent="0.2">
      <c r="A31" t="s">
        <v>261</v>
      </c>
    </row>
    <row r="32" spans="1:5" x14ac:dyDescent="0.2">
      <c r="A32" t="s">
        <v>262</v>
      </c>
    </row>
    <row r="33" spans="1:1" x14ac:dyDescent="0.2">
      <c r="A33" t="s">
        <v>263</v>
      </c>
    </row>
    <row r="34" spans="1:1" x14ac:dyDescent="0.2">
      <c r="A34" t="s">
        <v>264</v>
      </c>
    </row>
    <row r="35" spans="1:1" x14ac:dyDescent="0.2">
      <c r="A35" t="s">
        <v>265</v>
      </c>
    </row>
    <row r="36" spans="1:1" x14ac:dyDescent="0.2">
      <c r="A36" t="s">
        <v>266</v>
      </c>
    </row>
    <row r="37" spans="1:1" x14ac:dyDescent="0.2">
      <c r="A37" t="s">
        <v>267</v>
      </c>
    </row>
    <row r="38" spans="1:1" x14ac:dyDescent="0.2">
      <c r="A38" t="s">
        <v>268</v>
      </c>
    </row>
    <row r="39" spans="1:1" x14ac:dyDescent="0.2">
      <c r="A39" t="s">
        <v>269</v>
      </c>
    </row>
    <row r="40" spans="1:1" x14ac:dyDescent="0.2">
      <c r="A40" t="s">
        <v>270</v>
      </c>
    </row>
    <row r="41" spans="1:1" x14ac:dyDescent="0.2">
      <c r="A41" t="s">
        <v>271</v>
      </c>
    </row>
    <row r="44" spans="1:1" ht="16" x14ac:dyDescent="0.2">
      <c r="A44" s="37" t="s">
        <v>272</v>
      </c>
    </row>
    <row r="45" spans="1:1" x14ac:dyDescent="0.2">
      <c r="A45" t="s">
        <v>273</v>
      </c>
    </row>
    <row r="46" spans="1:1" x14ac:dyDescent="0.2">
      <c r="A46" t="s">
        <v>274</v>
      </c>
    </row>
    <row r="47" spans="1:1" x14ac:dyDescent="0.2">
      <c r="A47" t="s">
        <v>275</v>
      </c>
    </row>
    <row r="49" spans="1:2" x14ac:dyDescent="0.2">
      <c r="A49" s="45" t="s">
        <v>276</v>
      </c>
    </row>
    <row r="51" spans="1:2" ht="16" x14ac:dyDescent="0.2">
      <c r="A51" s="37" t="s">
        <v>277</v>
      </c>
    </row>
    <row r="52" spans="1:2" x14ac:dyDescent="0.2">
      <c r="A52" s="45" t="s">
        <v>278</v>
      </c>
      <c r="B52" t="s">
        <v>279</v>
      </c>
    </row>
    <row r="53" spans="1:2" x14ac:dyDescent="0.2">
      <c r="A53" s="46"/>
      <c r="B53" t="s">
        <v>280</v>
      </c>
    </row>
    <row r="54" spans="1:2" x14ac:dyDescent="0.2">
      <c r="A54" s="46"/>
      <c r="B54" t="s">
        <v>281</v>
      </c>
    </row>
    <row r="55" spans="1:2" x14ac:dyDescent="0.2">
      <c r="A55" s="46"/>
    </row>
    <row r="56" spans="1:2" x14ac:dyDescent="0.2">
      <c r="A56" s="45" t="s">
        <v>282</v>
      </c>
      <c r="B56" t="s">
        <v>283</v>
      </c>
    </row>
    <row r="57" spans="1:2" x14ac:dyDescent="0.2">
      <c r="A57" s="46"/>
      <c r="B57" t="s">
        <v>284</v>
      </c>
    </row>
    <row r="58" spans="1:2" x14ac:dyDescent="0.2">
      <c r="A58" s="46"/>
      <c r="B58" t="s">
        <v>285</v>
      </c>
    </row>
    <row r="59" spans="1:2" x14ac:dyDescent="0.2">
      <c r="A59" s="46"/>
    </row>
    <row r="60" spans="1:2" x14ac:dyDescent="0.2">
      <c r="A60" s="45" t="s">
        <v>286</v>
      </c>
      <c r="B60" t="s">
        <v>287</v>
      </c>
    </row>
    <row r="61" spans="1:2" x14ac:dyDescent="0.2">
      <c r="A61" s="46"/>
      <c r="B61" t="s">
        <v>288</v>
      </c>
    </row>
    <row r="62" spans="1:2" x14ac:dyDescent="0.2">
      <c r="A62" s="46"/>
      <c r="B62" t="s">
        <v>289</v>
      </c>
    </row>
    <row r="65" spans="1:1" ht="16" x14ac:dyDescent="0.2">
      <c r="A65" s="37" t="s">
        <v>290</v>
      </c>
    </row>
    <row r="66" spans="1:1" x14ac:dyDescent="0.2">
      <c r="A66" s="45" t="s">
        <v>291</v>
      </c>
    </row>
    <row r="67" spans="1:1" x14ac:dyDescent="0.2">
      <c r="A67" t="s">
        <v>292</v>
      </c>
    </row>
    <row r="68" spans="1:1" x14ac:dyDescent="0.2">
      <c r="A68" t="s">
        <v>293</v>
      </c>
    </row>
    <row r="69" spans="1:1" x14ac:dyDescent="0.2">
      <c r="A69" t="s">
        <v>294</v>
      </c>
    </row>
    <row r="70" spans="1:1" x14ac:dyDescent="0.2">
      <c r="A70" t="s">
        <v>295</v>
      </c>
    </row>
    <row r="72" spans="1:1" x14ac:dyDescent="0.2">
      <c r="A72" s="45" t="s">
        <v>296</v>
      </c>
    </row>
    <row r="73" spans="1:1" x14ac:dyDescent="0.2">
      <c r="A73" t="s">
        <v>297</v>
      </c>
    </row>
    <row r="74" spans="1:1" x14ac:dyDescent="0.2">
      <c r="A74" t="s">
        <v>298</v>
      </c>
    </row>
    <row r="75" spans="1:1" x14ac:dyDescent="0.2">
      <c r="A75" t="s">
        <v>299</v>
      </c>
    </row>
    <row r="76" spans="1:1" x14ac:dyDescent="0.2">
      <c r="A76" t="s">
        <v>300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Registro Proyectos</vt:lpstr>
      <vt:lpstr>Evaluacion Detallada</vt:lpstr>
      <vt:lpstr>Catalogos</vt:lpstr>
      <vt:lpstr>Panel de Control</vt:lpstr>
      <vt:lpstr>Instrucciones</vt:lpstr>
      <vt:lpstr>Metodología CONFIS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pablo tovar</cp:lastModifiedBy>
  <cp:revision>0</cp:revision>
  <dcterms:created xsi:type="dcterms:W3CDTF">2026-02-17T12:05:44Z</dcterms:created>
  <dcterms:modified xsi:type="dcterms:W3CDTF">2026-02-17T14:38:35Z</dcterms:modified>
  <dc:language>en-US</dc:language>
</cp:coreProperties>
</file>